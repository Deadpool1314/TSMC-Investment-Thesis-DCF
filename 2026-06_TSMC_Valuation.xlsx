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sktop\CFI\FMVA\Core Course\Practice\TSMC\"/>
    </mc:Choice>
  </mc:AlternateContent>
  <xr:revisionPtr revIDLastSave="0" documentId="13_ncr:1_{92A9C64C-6345-4047-823C-1B20DEEFF187}" xr6:coauthVersionLast="47" xr6:coauthVersionMax="47" xr10:uidLastSave="{00000000-0000-0000-0000-000000000000}"/>
  <bookViews>
    <workbookView xWindow="-118" yWindow="-118" windowWidth="25370" windowHeight="13890" activeTab="3" xr2:uid="{71E72686-870A-4944-AE22-E92768628039}"/>
  </bookViews>
  <sheets>
    <sheet name="Outputs" sheetId="7" r:id="rId1"/>
    <sheet name="Inputs" sheetId="6" r:id="rId2"/>
    <sheet name="Model" sheetId="3" r:id="rId3"/>
    <sheet name="Key Ratios &amp; Metrics" sheetId="2" r:id="rId4"/>
    <sheet name="Historicals" sheetId="1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1" i="3" l="1"/>
  <c r="E540" i="3"/>
  <c r="G192" i="2"/>
  <c r="H192" i="2"/>
  <c r="I192" i="2"/>
  <c r="J192" i="2"/>
  <c r="K192" i="2"/>
  <c r="L192" i="2"/>
  <c r="M192" i="2"/>
  <c r="N192" i="2"/>
  <c r="F192" i="2"/>
  <c r="G191" i="2"/>
  <c r="H191" i="2"/>
  <c r="I191" i="2"/>
  <c r="J191" i="2"/>
  <c r="K191" i="2"/>
  <c r="L191" i="2"/>
  <c r="M191" i="2"/>
  <c r="N191" i="2"/>
  <c r="F191" i="2"/>
  <c r="D192" i="2"/>
  <c r="D191" i="2"/>
  <c r="E31" i="7"/>
  <c r="E30" i="7"/>
  <c r="E29" i="7"/>
  <c r="D557" i="3"/>
  <c r="M31" i="7"/>
  <c r="F556" i="3"/>
  <c r="N556" i="3" s="1"/>
  <c r="M18" i="7" s="1"/>
  <c r="G556" i="3"/>
  <c r="F18" i="7" s="1"/>
  <c r="H556" i="3"/>
  <c r="I556" i="3"/>
  <c r="Q556" i="3" s="1"/>
  <c r="P18" i="7" s="1"/>
  <c r="E556" i="3"/>
  <c r="D558" i="3"/>
  <c r="D559" i="3"/>
  <c r="L559" i="3" s="1"/>
  <c r="K21" i="7" s="1"/>
  <c r="D560" i="3"/>
  <c r="L560" i="3" s="1"/>
  <c r="K22" i="7" s="1"/>
  <c r="D561" i="3"/>
  <c r="L561" i="3" s="1"/>
  <c r="K23" i="7" s="1"/>
  <c r="L558" i="3"/>
  <c r="K20" i="7" s="1"/>
  <c r="P556" i="3"/>
  <c r="M556" i="3"/>
  <c r="L18" i="7" s="1"/>
  <c r="N546" i="3"/>
  <c r="O546" i="3"/>
  <c r="N8" i="7" s="1"/>
  <c r="P546" i="3"/>
  <c r="O8" i="7" s="1"/>
  <c r="Q546" i="3"/>
  <c r="M546" i="3"/>
  <c r="L8" i="7" s="1"/>
  <c r="L548" i="3"/>
  <c r="L549" i="3"/>
  <c r="L550" i="3"/>
  <c r="K12" i="7" s="1"/>
  <c r="L551" i="3"/>
  <c r="L547" i="3"/>
  <c r="K9" i="7" s="1"/>
  <c r="E542" i="3"/>
  <c r="D211" i="2" s="1"/>
  <c r="C23" i="7"/>
  <c r="C22" i="7"/>
  <c r="C21" i="7"/>
  <c r="C20" i="7"/>
  <c r="O18" i="7"/>
  <c r="H18" i="7"/>
  <c r="G18" i="7"/>
  <c r="E18" i="7"/>
  <c r="D18" i="7"/>
  <c r="Y14" i="7"/>
  <c r="U14" i="7"/>
  <c r="Y13" i="7"/>
  <c r="U13" i="7"/>
  <c r="K13" i="7"/>
  <c r="H13" i="7"/>
  <c r="G13" i="7"/>
  <c r="F13" i="7"/>
  <c r="E13" i="7"/>
  <c r="D13" i="7"/>
  <c r="C13" i="7"/>
  <c r="Y12" i="7"/>
  <c r="S12" i="7"/>
  <c r="U12" i="7" s="1"/>
  <c r="H12" i="7"/>
  <c r="G12" i="7"/>
  <c r="F12" i="7"/>
  <c r="E12" i="7"/>
  <c r="D12" i="7"/>
  <c r="C12" i="7"/>
  <c r="Y11" i="7"/>
  <c r="U11" i="7"/>
  <c r="K11" i="7"/>
  <c r="H11" i="7"/>
  <c r="G11" i="7"/>
  <c r="F11" i="7"/>
  <c r="E11" i="7"/>
  <c r="D11" i="7"/>
  <c r="C11" i="7"/>
  <c r="Y10" i="7"/>
  <c r="U10" i="7"/>
  <c r="K10" i="7"/>
  <c r="H10" i="7"/>
  <c r="G10" i="7"/>
  <c r="F10" i="7"/>
  <c r="E10" i="7"/>
  <c r="D10" i="7"/>
  <c r="C10" i="7"/>
  <c r="H9" i="7"/>
  <c r="G9" i="7"/>
  <c r="F9" i="7"/>
  <c r="E9" i="7"/>
  <c r="D9" i="7"/>
  <c r="C9" i="7"/>
  <c r="P8" i="7"/>
  <c r="M8" i="7"/>
  <c r="H8" i="7"/>
  <c r="G8" i="7"/>
  <c r="F8" i="7"/>
  <c r="E8" i="7"/>
  <c r="D8" i="7"/>
  <c r="Z558" i="3"/>
  <c r="H568" i="3"/>
  <c r="O556" i="3" l="1"/>
  <c r="N18" i="7" s="1"/>
  <c r="L557" i="3"/>
  <c r="K19" i="7" s="1"/>
  <c r="C19" i="7"/>
  <c r="Z552" i="3" l="1"/>
  <c r="AD550" i="3"/>
  <c r="Z550" i="3"/>
  <c r="AD549" i="3"/>
  <c r="Z549" i="3"/>
  <c r="AD548" i="3"/>
  <c r="AD547" i="3"/>
  <c r="Z547" i="3"/>
  <c r="AD546" i="3"/>
  <c r="Z546" i="3"/>
  <c r="G58" i="2"/>
  <c r="H58" i="2"/>
  <c r="I58" i="2"/>
  <c r="J58" i="2"/>
  <c r="K58" i="2"/>
  <c r="L58" i="2"/>
  <c r="M58" i="2"/>
  <c r="N58" i="2"/>
  <c r="F58" i="2"/>
  <c r="F70" i="2"/>
  <c r="F69" i="2"/>
  <c r="G233" i="2"/>
  <c r="F239" i="2" s="1"/>
  <c r="G239" i="2" s="1"/>
  <c r="F233" i="2"/>
  <c r="D213" i="2"/>
  <c r="V71" i="3"/>
  <c r="V72" i="3" s="1"/>
  <c r="C99" i="6" l="1"/>
  <c r="G91" i="6"/>
  <c r="O530" i="3"/>
  <c r="P495" i="3"/>
  <c r="N30" i="6"/>
  <c r="K141" i="1"/>
  <c r="K142" i="1"/>
  <c r="N29" i="6" s="1"/>
  <c r="P437" i="3"/>
  <c r="Q437" i="3" s="1"/>
  <c r="R437" i="3" s="1"/>
  <c r="S437" i="3" s="1"/>
  <c r="T437" i="3" s="1"/>
  <c r="P417" i="3"/>
  <c r="P393" i="3"/>
  <c r="P385" i="3"/>
  <c r="P374" i="3"/>
  <c r="O274" i="3"/>
  <c r="E288" i="3"/>
  <c r="E330" i="3" s="1"/>
  <c r="O264" i="3"/>
  <c r="E256" i="3"/>
  <c r="E255" i="3"/>
  <c r="D221" i="3"/>
  <c r="D220" i="3"/>
  <c r="C217" i="3"/>
  <c r="C216" i="3"/>
  <c r="F39" i="6"/>
  <c r="F38" i="6"/>
  <c r="P192" i="3"/>
  <c r="Q192" i="3"/>
  <c r="R192" i="3"/>
  <c r="S192" i="3"/>
  <c r="T192" i="3"/>
  <c r="U192" i="3"/>
  <c r="P193" i="3"/>
  <c r="Q193" i="3"/>
  <c r="R193" i="3"/>
  <c r="S193" i="3"/>
  <c r="T193" i="3"/>
  <c r="U193" i="3"/>
  <c r="Q191" i="3"/>
  <c r="R191" i="3"/>
  <c r="S191" i="3"/>
  <c r="T191" i="3"/>
  <c r="U191" i="3"/>
  <c r="P191" i="3"/>
  <c r="Q175" i="3"/>
  <c r="R175" i="3"/>
  <c r="S175" i="3"/>
  <c r="T175" i="3"/>
  <c r="U175" i="3"/>
  <c r="Q176" i="3"/>
  <c r="R176" i="3"/>
  <c r="S176" i="3"/>
  <c r="T176" i="3"/>
  <c r="U176" i="3"/>
  <c r="P176" i="3"/>
  <c r="P175" i="3"/>
  <c r="Q174" i="3"/>
  <c r="R174" i="3"/>
  <c r="S174" i="3"/>
  <c r="T174" i="3"/>
  <c r="U174" i="3"/>
  <c r="P174" i="3"/>
  <c r="P222" i="3" l="1"/>
  <c r="AA195" i="3"/>
  <c r="AB195" i="3"/>
  <c r="AC195" i="3"/>
  <c r="AD195" i="3"/>
  <c r="AE195" i="3"/>
  <c r="AF195" i="3"/>
  <c r="AG195" i="3"/>
  <c r="AH195" i="3"/>
  <c r="AA196" i="3"/>
  <c r="AB196" i="3"/>
  <c r="AC196" i="3"/>
  <c r="AD196" i="3"/>
  <c r="AE196" i="3"/>
  <c r="AF196" i="3"/>
  <c r="AG196" i="3"/>
  <c r="AH196" i="3"/>
  <c r="AA197" i="3"/>
  <c r="AB197" i="3"/>
  <c r="AC197" i="3"/>
  <c r="AD197" i="3"/>
  <c r="AE197" i="3"/>
  <c r="AF197" i="3"/>
  <c r="AG197" i="3"/>
  <c r="AH197" i="3"/>
  <c r="Z196" i="3"/>
  <c r="Z197" i="3"/>
  <c r="Z195" i="3"/>
  <c r="Y196" i="3"/>
  <c r="Y197" i="3"/>
  <c r="Y195" i="3"/>
  <c r="Y192" i="3"/>
  <c r="Y193" i="3"/>
  <c r="Y191" i="3"/>
  <c r="Y188" i="3"/>
  <c r="Y189" i="3"/>
  <c r="Y187" i="3"/>
  <c r="H2" i="3"/>
  <c r="I2" i="3" s="1"/>
  <c r="J2" i="3" s="1"/>
  <c r="K2" i="3" s="1"/>
  <c r="L2" i="3" s="1"/>
  <c r="M2" i="3" s="1"/>
  <c r="N2" i="3" s="1"/>
  <c r="O2" i="3" s="1"/>
  <c r="P2" i="3" s="1"/>
  <c r="Q2" i="3" l="1"/>
  <c r="F218" i="2"/>
  <c r="F231" i="2" s="1"/>
  <c r="I231" i="2" s="1"/>
  <c r="R2" i="3" l="1"/>
  <c r="G218" i="2"/>
  <c r="G231" i="2" s="1"/>
  <c r="J231" i="2" s="1"/>
  <c r="S2" i="3" l="1"/>
  <c r="H218" i="2"/>
  <c r="D141" i="1"/>
  <c r="E141" i="1"/>
  <c r="F141" i="1"/>
  <c r="G141" i="1"/>
  <c r="H141" i="1"/>
  <c r="I141" i="1"/>
  <c r="J141" i="1"/>
  <c r="C141" i="1"/>
  <c r="G69" i="2"/>
  <c r="H69" i="2"/>
  <c r="I69" i="2"/>
  <c r="J69" i="2"/>
  <c r="K69" i="2"/>
  <c r="L69" i="2"/>
  <c r="M69" i="2"/>
  <c r="N69" i="2"/>
  <c r="G70" i="2"/>
  <c r="Q69" i="2" s="1"/>
  <c r="H70" i="2"/>
  <c r="I70" i="2"/>
  <c r="S69" i="2" s="1"/>
  <c r="J70" i="2"/>
  <c r="K70" i="2"/>
  <c r="L70" i="2"/>
  <c r="M70" i="2"/>
  <c r="N70" i="2"/>
  <c r="G22" i="2"/>
  <c r="H22" i="2"/>
  <c r="I22" i="2"/>
  <c r="J22" i="2"/>
  <c r="K22" i="2"/>
  <c r="L22" i="2"/>
  <c r="M22" i="2"/>
  <c r="N22" i="2"/>
  <c r="F22" i="2"/>
  <c r="D161" i="1"/>
  <c r="E161" i="1"/>
  <c r="F161" i="1"/>
  <c r="G161" i="1"/>
  <c r="H161" i="1"/>
  <c r="I161" i="1"/>
  <c r="J161" i="1"/>
  <c r="K161" i="1"/>
  <c r="C161" i="1"/>
  <c r="D158" i="1"/>
  <c r="E158" i="1"/>
  <c r="F158" i="1"/>
  <c r="G158" i="1"/>
  <c r="H158" i="1"/>
  <c r="I158" i="1"/>
  <c r="J158" i="1"/>
  <c r="K158" i="1"/>
  <c r="D159" i="1"/>
  <c r="E159" i="1"/>
  <c r="F159" i="1"/>
  <c r="G159" i="1"/>
  <c r="H159" i="1"/>
  <c r="I159" i="1"/>
  <c r="J159" i="1"/>
  <c r="K159" i="1"/>
  <c r="D160" i="1"/>
  <c r="E160" i="1"/>
  <c r="F160" i="1"/>
  <c r="G160" i="1"/>
  <c r="H160" i="1"/>
  <c r="I160" i="1"/>
  <c r="J160" i="1"/>
  <c r="K160" i="1"/>
  <c r="C160" i="1"/>
  <c r="C159" i="1"/>
  <c r="C158" i="1"/>
  <c r="P451" i="3"/>
  <c r="P119" i="3" s="1"/>
  <c r="Z49" i="3"/>
  <c r="Z50" i="3" s="1"/>
  <c r="AA49" i="3"/>
  <c r="AA50" i="3" s="1"/>
  <c r="AB49" i="3"/>
  <c r="AB50" i="3" s="1"/>
  <c r="AC49" i="3"/>
  <c r="AC50" i="3" s="1"/>
  <c r="AD49" i="3"/>
  <c r="AD50" i="3" s="1"/>
  <c r="AE49" i="3"/>
  <c r="AE50" i="3" s="1"/>
  <c r="AF49" i="3"/>
  <c r="AF50" i="3" s="1"/>
  <c r="AG49" i="3"/>
  <c r="AG50" i="3" s="1"/>
  <c r="Y49" i="3"/>
  <c r="Y50" i="3" s="1"/>
  <c r="P49" i="3"/>
  <c r="Q49" i="3" s="1"/>
  <c r="O391" i="3"/>
  <c r="P122" i="3"/>
  <c r="Q122" i="3" s="1"/>
  <c r="P124" i="3"/>
  <c r="Q124" i="3" s="1"/>
  <c r="R124" i="3" s="1"/>
  <c r="S124" i="3" s="1"/>
  <c r="T124" i="3" s="1"/>
  <c r="Z143" i="3"/>
  <c r="AA143" i="3"/>
  <c r="AB143" i="3"/>
  <c r="AC143" i="3"/>
  <c r="AD143" i="3"/>
  <c r="AE143" i="3"/>
  <c r="AF143" i="3"/>
  <c r="AG143" i="3"/>
  <c r="Y143" i="3"/>
  <c r="AE137" i="3"/>
  <c r="AD137" i="3"/>
  <c r="AC137" i="3"/>
  <c r="AB136" i="3"/>
  <c r="AA136" i="3"/>
  <c r="AA137" i="3" s="1"/>
  <c r="AB135" i="3"/>
  <c r="Z110" i="3"/>
  <c r="AA110" i="3"/>
  <c r="AB110" i="3"/>
  <c r="AC110" i="3"/>
  <c r="AD110" i="3"/>
  <c r="AE110" i="3"/>
  <c r="AF110" i="3"/>
  <c r="AG110" i="3"/>
  <c r="Y110" i="3"/>
  <c r="Z109" i="3"/>
  <c r="AA109" i="3"/>
  <c r="AB109" i="3"/>
  <c r="AC109" i="3"/>
  <c r="AD109" i="3"/>
  <c r="AE109" i="3"/>
  <c r="AF109" i="3"/>
  <c r="AG109" i="3"/>
  <c r="Y109" i="3"/>
  <c r="AE128" i="3"/>
  <c r="AD128" i="3"/>
  <c r="AC128" i="3"/>
  <c r="AE127" i="3"/>
  <c r="AC127" i="3"/>
  <c r="AA127" i="3"/>
  <c r="AE126" i="3"/>
  <c r="AD126" i="3"/>
  <c r="S62" i="3" s="1"/>
  <c r="S381" i="3" s="1"/>
  <c r="S382" i="3" s="1"/>
  <c r="AC126" i="3"/>
  <c r="AB126" i="3"/>
  <c r="Q62" i="3" s="1"/>
  <c r="Q381" i="3" s="1"/>
  <c r="Q382" i="3" s="1"/>
  <c r="AA126" i="3"/>
  <c r="D166" i="1"/>
  <c r="E166" i="1"/>
  <c r="F166" i="1"/>
  <c r="G166" i="1"/>
  <c r="H166" i="1"/>
  <c r="I166" i="1"/>
  <c r="J166" i="1"/>
  <c r="K166" i="1"/>
  <c r="C166" i="1"/>
  <c r="D165" i="1"/>
  <c r="E165" i="1"/>
  <c r="F165" i="1"/>
  <c r="G165" i="1"/>
  <c r="H165" i="1"/>
  <c r="I165" i="1"/>
  <c r="J165" i="1"/>
  <c r="K165" i="1"/>
  <c r="C165" i="1"/>
  <c r="G37" i="3"/>
  <c r="U37" i="3"/>
  <c r="Y54" i="3"/>
  <c r="Z54" i="3"/>
  <c r="AA54" i="3"/>
  <c r="AB54" i="3"/>
  <c r="AC54" i="3"/>
  <c r="AD54" i="3"/>
  <c r="AE54" i="3"/>
  <c r="AF54" i="3"/>
  <c r="AG54" i="3"/>
  <c r="AI60" i="3"/>
  <c r="Y56" i="3"/>
  <c r="Z56" i="3"/>
  <c r="AA56" i="3"/>
  <c r="AB56" i="3"/>
  <c r="AC56" i="3"/>
  <c r="AD56" i="3"/>
  <c r="AE56" i="3"/>
  <c r="AF56" i="3"/>
  <c r="AG56" i="3"/>
  <c r="Z60" i="3"/>
  <c r="AA60" i="3"/>
  <c r="AB60" i="3"/>
  <c r="AC60" i="3"/>
  <c r="AD60" i="3"/>
  <c r="AE60" i="3"/>
  <c r="AF60" i="3"/>
  <c r="AG60" i="3"/>
  <c r="AH60" i="3"/>
  <c r="AT62" i="3"/>
  <c r="AU62" i="3" s="1"/>
  <c r="AE63" i="3"/>
  <c r="AT63" i="3" s="1"/>
  <c r="AE64" i="3"/>
  <c r="AT64" i="3" s="1"/>
  <c r="AU64" i="3" s="1"/>
  <c r="AT65" i="3"/>
  <c r="AU65" i="3" s="1"/>
  <c r="AE66" i="3"/>
  <c r="AT66" i="3" s="1"/>
  <c r="AU66" i="3" s="1"/>
  <c r="AH68" i="3"/>
  <c r="AI68" i="3"/>
  <c r="AH69" i="3"/>
  <c r="AI69" i="3"/>
  <c r="AH71" i="3"/>
  <c r="AI71" i="3"/>
  <c r="P75" i="3"/>
  <c r="G80" i="3"/>
  <c r="G132" i="3" s="1"/>
  <c r="U80" i="3"/>
  <c r="U132" i="3" s="1"/>
  <c r="Y84" i="3"/>
  <c r="Z84" i="3"/>
  <c r="AA84" i="3"/>
  <c r="AB84" i="3"/>
  <c r="AC84" i="3"/>
  <c r="AD84" i="3"/>
  <c r="AE84" i="3"/>
  <c r="AF84" i="3"/>
  <c r="AG84" i="3"/>
  <c r="Y87" i="3"/>
  <c r="Z87" i="3"/>
  <c r="AA87" i="3"/>
  <c r="AB87" i="3"/>
  <c r="AC87" i="3"/>
  <c r="AD87" i="3"/>
  <c r="AE87" i="3"/>
  <c r="AF87" i="3"/>
  <c r="AG87" i="3"/>
  <c r="Y91" i="3"/>
  <c r="Z91" i="3"/>
  <c r="AA91" i="3"/>
  <c r="AB91" i="3"/>
  <c r="AC91" i="3"/>
  <c r="AD91" i="3"/>
  <c r="AE91" i="3"/>
  <c r="AF91" i="3"/>
  <c r="AG91" i="3"/>
  <c r="Y93" i="3"/>
  <c r="Z93" i="3"/>
  <c r="AA93" i="3"/>
  <c r="AB93" i="3"/>
  <c r="AC93" i="3"/>
  <c r="AD93" i="3"/>
  <c r="AE93" i="3"/>
  <c r="AF93" i="3"/>
  <c r="AG93" i="3"/>
  <c r="Y98" i="3"/>
  <c r="Z98" i="3"/>
  <c r="AA98" i="3"/>
  <c r="AB98" i="3"/>
  <c r="AC98" i="3"/>
  <c r="AD98" i="3"/>
  <c r="AE98" i="3"/>
  <c r="AF98" i="3"/>
  <c r="AG98" i="3"/>
  <c r="Y99" i="3"/>
  <c r="Z99" i="3"/>
  <c r="AA99" i="3"/>
  <c r="AB99" i="3"/>
  <c r="AC99" i="3"/>
  <c r="AD99" i="3"/>
  <c r="AE99" i="3"/>
  <c r="AF99" i="3"/>
  <c r="AG99" i="3"/>
  <c r="Y103" i="3"/>
  <c r="Z103" i="3"/>
  <c r="AA103" i="3"/>
  <c r="AB103" i="3"/>
  <c r="AC103" i="3"/>
  <c r="AD103" i="3"/>
  <c r="AE103" i="3"/>
  <c r="AF103" i="3"/>
  <c r="AG103" i="3"/>
  <c r="Z106" i="3"/>
  <c r="AA106" i="3"/>
  <c r="AB106" i="3"/>
  <c r="AC106" i="3"/>
  <c r="AD106" i="3"/>
  <c r="AE106" i="3"/>
  <c r="AF106" i="3"/>
  <c r="AG106" i="3"/>
  <c r="P118" i="3"/>
  <c r="Q118" i="3"/>
  <c r="R118" i="3"/>
  <c r="S118" i="3"/>
  <c r="T118" i="3"/>
  <c r="G129" i="3"/>
  <c r="H129" i="3"/>
  <c r="I129" i="3"/>
  <c r="J129" i="3"/>
  <c r="K129" i="3"/>
  <c r="L129" i="3"/>
  <c r="M129" i="3"/>
  <c r="N129" i="3"/>
  <c r="O129" i="3"/>
  <c r="K7" i="1"/>
  <c r="U423" i="3"/>
  <c r="U371" i="3"/>
  <c r="P432" i="3"/>
  <c r="P434" i="3" s="1"/>
  <c r="Q432" i="3" s="1"/>
  <c r="Q434" i="3" s="1"/>
  <c r="R432" i="3" s="1"/>
  <c r="R434" i="3" s="1"/>
  <c r="S432" i="3" s="1"/>
  <c r="S434" i="3" s="1"/>
  <c r="T432" i="3" s="1"/>
  <c r="T434" i="3" s="1"/>
  <c r="Y38" i="1"/>
  <c r="Y35" i="1"/>
  <c r="Y45" i="1"/>
  <c r="X45" i="1"/>
  <c r="W45" i="1"/>
  <c r="V45" i="1"/>
  <c r="U45" i="1"/>
  <c r="T45" i="1"/>
  <c r="S45" i="1"/>
  <c r="R45" i="1"/>
  <c r="Q45" i="1"/>
  <c r="Y44" i="1"/>
  <c r="X44" i="1"/>
  <c r="W44" i="1"/>
  <c r="V44" i="1"/>
  <c r="U44" i="1"/>
  <c r="T44" i="1"/>
  <c r="S44" i="1"/>
  <c r="R44" i="1"/>
  <c r="Q44" i="1"/>
  <c r="Y43" i="1"/>
  <c r="X43" i="1"/>
  <c r="W43" i="1"/>
  <c r="V43" i="1"/>
  <c r="U43" i="1"/>
  <c r="T43" i="1"/>
  <c r="S43" i="1"/>
  <c r="R43" i="1"/>
  <c r="Q43" i="1"/>
  <c r="Y42" i="1"/>
  <c r="X42" i="1"/>
  <c r="W42" i="1"/>
  <c r="V42" i="1"/>
  <c r="U42" i="1"/>
  <c r="T42" i="1"/>
  <c r="S42" i="1"/>
  <c r="R42" i="1"/>
  <c r="Q42" i="1"/>
  <c r="Y41" i="1"/>
  <c r="X41" i="1"/>
  <c r="W41" i="1"/>
  <c r="V41" i="1"/>
  <c r="U41" i="1"/>
  <c r="T41" i="1"/>
  <c r="S41" i="1"/>
  <c r="R41" i="1"/>
  <c r="Q41" i="1"/>
  <c r="Y40" i="1"/>
  <c r="X40" i="1"/>
  <c r="W40" i="1"/>
  <c r="V40" i="1"/>
  <c r="U40" i="1"/>
  <c r="T40" i="1"/>
  <c r="S40" i="1"/>
  <c r="R40" i="1"/>
  <c r="Q40" i="1"/>
  <c r="Y39" i="1"/>
  <c r="X39" i="1"/>
  <c r="W39" i="1"/>
  <c r="V39" i="1"/>
  <c r="U39" i="1"/>
  <c r="T39" i="1"/>
  <c r="S39" i="1"/>
  <c r="R39" i="1"/>
  <c r="Q39" i="1"/>
  <c r="X38" i="1"/>
  <c r="W38" i="1"/>
  <c r="V38" i="1"/>
  <c r="U38" i="1"/>
  <c r="T38" i="1"/>
  <c r="S38" i="1"/>
  <c r="R38" i="1"/>
  <c r="Q38" i="1"/>
  <c r="Y37" i="1"/>
  <c r="X37" i="1"/>
  <c r="W37" i="1"/>
  <c r="V37" i="1"/>
  <c r="U37" i="1"/>
  <c r="T37" i="1"/>
  <c r="S37" i="1"/>
  <c r="R37" i="1"/>
  <c r="Q37" i="1"/>
  <c r="Y36" i="1"/>
  <c r="X36" i="1"/>
  <c r="W36" i="1"/>
  <c r="V36" i="1"/>
  <c r="U36" i="1"/>
  <c r="T36" i="1"/>
  <c r="S36" i="1"/>
  <c r="R36" i="1"/>
  <c r="Q36" i="1"/>
  <c r="X35" i="1"/>
  <c r="W35" i="1"/>
  <c r="V35" i="1"/>
  <c r="U35" i="1"/>
  <c r="T35" i="1"/>
  <c r="S35" i="1"/>
  <c r="R35" i="1"/>
  <c r="Q35" i="1"/>
  <c r="Y31" i="1"/>
  <c r="X31" i="1"/>
  <c r="W31" i="1"/>
  <c r="V31" i="1"/>
  <c r="U31" i="1"/>
  <c r="T31" i="1"/>
  <c r="S31" i="1"/>
  <c r="R31" i="1"/>
  <c r="Q31" i="1"/>
  <c r="Y30" i="1"/>
  <c r="X30" i="1"/>
  <c r="W30" i="1"/>
  <c r="V30" i="1"/>
  <c r="U30" i="1"/>
  <c r="T30" i="1"/>
  <c r="S30" i="1"/>
  <c r="R30" i="1"/>
  <c r="Q30" i="1"/>
  <c r="Y29" i="1"/>
  <c r="X29" i="1"/>
  <c r="W29" i="1"/>
  <c r="V29" i="1"/>
  <c r="U29" i="1"/>
  <c r="T29" i="1"/>
  <c r="S29" i="1"/>
  <c r="R29" i="1"/>
  <c r="Q29" i="1"/>
  <c r="Y28" i="1"/>
  <c r="X28" i="1"/>
  <c r="W28" i="1"/>
  <c r="V28" i="1"/>
  <c r="U28" i="1"/>
  <c r="T28" i="1"/>
  <c r="S28" i="1"/>
  <c r="R28" i="1"/>
  <c r="Q28" i="1"/>
  <c r="Y27" i="1"/>
  <c r="X27" i="1"/>
  <c r="W27" i="1"/>
  <c r="V27" i="1"/>
  <c r="U27" i="1"/>
  <c r="T27" i="1"/>
  <c r="S27" i="1"/>
  <c r="R27" i="1"/>
  <c r="Q27" i="1"/>
  <c r="Y26" i="1"/>
  <c r="X26" i="1"/>
  <c r="W26" i="1"/>
  <c r="V26" i="1"/>
  <c r="U26" i="1"/>
  <c r="T26" i="1"/>
  <c r="S26" i="1"/>
  <c r="R26" i="1"/>
  <c r="Q26" i="1"/>
  <c r="Q2" i="1"/>
  <c r="P443" i="3"/>
  <c r="Q406" i="3"/>
  <c r="R406" i="3"/>
  <c r="S406" i="3"/>
  <c r="T406" i="3"/>
  <c r="P406" i="3"/>
  <c r="T2" i="3" l="1"/>
  <c r="J218" i="2" s="1"/>
  <c r="I218" i="2"/>
  <c r="V69" i="2"/>
  <c r="T69" i="2"/>
  <c r="W69" i="2"/>
  <c r="X69" i="2"/>
  <c r="R69" i="2"/>
  <c r="P69" i="2"/>
  <c r="U69" i="2"/>
  <c r="T62" i="3"/>
  <c r="T381" i="3" s="1"/>
  <c r="T382" i="3" s="1"/>
  <c r="R62" i="3"/>
  <c r="R381" i="3" s="1"/>
  <c r="R382" i="3" s="1"/>
  <c r="P62" i="3"/>
  <c r="P381" i="3" s="1"/>
  <c r="P382" i="3" s="1"/>
  <c r="P61" i="3" s="1"/>
  <c r="AE100" i="3"/>
  <c r="AA128" i="3"/>
  <c r="AA129" i="3" s="1"/>
  <c r="Z100" i="3"/>
  <c r="R49" i="3"/>
  <c r="S49" i="3" s="1"/>
  <c r="T49" i="3" s="1"/>
  <c r="Q451" i="3"/>
  <c r="AB128" i="3"/>
  <c r="AC111" i="3"/>
  <c r="AF111" i="3"/>
  <c r="AB137" i="3"/>
  <c r="Y111" i="3"/>
  <c r="C167" i="1"/>
  <c r="D167" i="1"/>
  <c r="AD100" i="3"/>
  <c r="F167" i="1"/>
  <c r="AG111" i="3"/>
  <c r="I167" i="1"/>
  <c r="E167" i="1"/>
  <c r="K167" i="1"/>
  <c r="AA111" i="3"/>
  <c r="AD111" i="3"/>
  <c r="G167" i="1"/>
  <c r="AE111" i="3"/>
  <c r="AB100" i="3"/>
  <c r="AC100" i="3"/>
  <c r="AB111" i="3"/>
  <c r="AF100" i="3"/>
  <c r="Z111" i="3"/>
  <c r="AG100" i="3"/>
  <c r="AA100" i="3"/>
  <c r="Y100" i="3"/>
  <c r="H167" i="1"/>
  <c r="J167" i="1"/>
  <c r="AT67" i="3"/>
  <c r="AT70" i="3" s="1"/>
  <c r="AU70" i="3" s="1"/>
  <c r="AU63" i="3"/>
  <c r="AJ60" i="3"/>
  <c r="S61" i="3"/>
  <c r="V46" i="1"/>
  <c r="U32" i="1"/>
  <c r="V32" i="1"/>
  <c r="S32" i="1"/>
  <c r="T46" i="1"/>
  <c r="S46" i="1"/>
  <c r="R46" i="1"/>
  <c r="T32" i="1"/>
  <c r="R32" i="1"/>
  <c r="Q32" i="1"/>
  <c r="X32" i="1"/>
  <c r="W32" i="1"/>
  <c r="U46" i="1"/>
  <c r="W46" i="1"/>
  <c r="X46" i="1"/>
  <c r="Q46" i="1"/>
  <c r="Y46" i="1"/>
  <c r="Y32" i="1"/>
  <c r="R451" i="3" l="1"/>
  <c r="Q119" i="3"/>
  <c r="AB125" i="3"/>
  <c r="AB129" i="3" s="1"/>
  <c r="AH109" i="3"/>
  <c r="AH111" i="3" s="1"/>
  <c r="P104" i="3" s="1"/>
  <c r="AT69" i="3"/>
  <c r="AU69" i="3" s="1"/>
  <c r="AK60" i="3"/>
  <c r="AT68" i="3"/>
  <c r="T61" i="3"/>
  <c r="Q61" i="3"/>
  <c r="R61" i="3"/>
  <c r="P370" i="3"/>
  <c r="Q417" i="3"/>
  <c r="R417" i="3" s="1"/>
  <c r="S417" i="3" s="1"/>
  <c r="T417" i="3" s="1"/>
  <c r="P413" i="3"/>
  <c r="Q393" i="3"/>
  <c r="P389" i="3"/>
  <c r="P391" i="3" s="1"/>
  <c r="P380" i="3"/>
  <c r="Q374" i="3"/>
  <c r="R374" i="3" s="1"/>
  <c r="S374" i="3" s="1"/>
  <c r="T374" i="3" s="1"/>
  <c r="U374" i="3" s="1"/>
  <c r="AG20" i="3"/>
  <c r="AG21" i="3"/>
  <c r="AD17" i="3"/>
  <c r="AE20" i="3"/>
  <c r="D493" i="3"/>
  <c r="E539" i="3" s="1"/>
  <c r="N69" i="6"/>
  <c r="N71" i="6" s="1"/>
  <c r="N78" i="6" s="1"/>
  <c r="L49" i="6"/>
  <c r="K49" i="6"/>
  <c r="N49" i="6" s="1"/>
  <c r="M78" i="6"/>
  <c r="G70" i="6"/>
  <c r="G71" i="6" s="1"/>
  <c r="E71" i="6"/>
  <c r="M55" i="6"/>
  <c r="M54" i="6"/>
  <c r="L50" i="6"/>
  <c r="L51" i="6"/>
  <c r="L52" i="6"/>
  <c r="L48" i="6"/>
  <c r="J52" i="6"/>
  <c r="N52" i="6" s="1"/>
  <c r="J50" i="6"/>
  <c r="N50" i="6" s="1"/>
  <c r="J51" i="6"/>
  <c r="N51" i="6" s="1"/>
  <c r="J48" i="6"/>
  <c r="N48" i="6" s="1"/>
  <c r="Q389" i="3" l="1"/>
  <c r="Q391" i="3" s="1"/>
  <c r="P109" i="3"/>
  <c r="S451" i="3"/>
  <c r="T451" i="3" s="1"/>
  <c r="L55" i="6"/>
  <c r="K55" i="6"/>
  <c r="K54" i="6"/>
  <c r="R119" i="3"/>
  <c r="AC125" i="3"/>
  <c r="AC129" i="3" s="1"/>
  <c r="AI109" i="3"/>
  <c r="AI111" i="3" s="1"/>
  <c r="Q104" i="3" s="1"/>
  <c r="AU68" i="3"/>
  <c r="AT71" i="3" s="1"/>
  <c r="AU71" i="3" s="1"/>
  <c r="AL60" i="3"/>
  <c r="P383" i="3"/>
  <c r="P108" i="3" s="1"/>
  <c r="D212" i="2" s="1"/>
  <c r="R393" i="3"/>
  <c r="P418" i="3"/>
  <c r="P394" i="3"/>
  <c r="N55" i="6"/>
  <c r="L54" i="6"/>
  <c r="N54" i="6"/>
  <c r="G61" i="6" s="1"/>
  <c r="G73" i="6"/>
  <c r="J55" i="6"/>
  <c r="J54" i="6"/>
  <c r="F69" i="6"/>
  <c r="F70" i="6"/>
  <c r="M79" i="6"/>
  <c r="Q394" i="3" l="1"/>
  <c r="AT72" i="3"/>
  <c r="AU72" i="3" s="1"/>
  <c r="R389" i="3"/>
  <c r="R391" i="3" s="1"/>
  <c r="Q109" i="3"/>
  <c r="S119" i="3"/>
  <c r="T119" i="3"/>
  <c r="AD125" i="3"/>
  <c r="AD129" i="3" s="1"/>
  <c r="AJ109" i="3"/>
  <c r="AJ111" i="3" s="1"/>
  <c r="R104" i="3" s="1"/>
  <c r="Q108" i="3"/>
  <c r="P386" i="3"/>
  <c r="P423" i="3" s="1"/>
  <c r="P65" i="3" s="1"/>
  <c r="Q380" i="3"/>
  <c r="Q383" i="3" s="1"/>
  <c r="S393" i="3"/>
  <c r="G62" i="6"/>
  <c r="G63" i="6" s="1"/>
  <c r="N61" i="6" s="1"/>
  <c r="N63" i="6" s="1"/>
  <c r="N79" i="6" s="1"/>
  <c r="F71" i="6"/>
  <c r="F73" i="6"/>
  <c r="N83" i="6" l="1"/>
  <c r="R394" i="3"/>
  <c r="S389" i="3"/>
  <c r="S391" i="3" s="1"/>
  <c r="S394" i="3" s="1"/>
  <c r="R109" i="3"/>
  <c r="C98" i="6"/>
  <c r="D494" i="3"/>
  <c r="E538" i="3" s="1"/>
  <c r="AE125" i="3"/>
  <c r="AE129" i="3" s="1"/>
  <c r="AL109" i="3" s="1"/>
  <c r="AL111" i="3" s="1"/>
  <c r="T104" i="3" s="1"/>
  <c r="AK109" i="3"/>
  <c r="AK111" i="3" s="1"/>
  <c r="S104" i="3" s="1"/>
  <c r="R108" i="3"/>
  <c r="Q386" i="3"/>
  <c r="R380" i="3"/>
  <c r="T393" i="3"/>
  <c r="X548" i="3" l="1"/>
  <c r="G93" i="6"/>
  <c r="G94" i="6" s="1"/>
  <c r="T389" i="3"/>
  <c r="T391" i="3" s="1"/>
  <c r="T109" i="3" s="1"/>
  <c r="S109" i="3"/>
  <c r="S108" i="3"/>
  <c r="R383" i="3"/>
  <c r="Z548" i="3" l="1"/>
  <c r="G568" i="3"/>
  <c r="T394" i="3"/>
  <c r="T108" i="3"/>
  <c r="R386" i="3"/>
  <c r="S380" i="3"/>
  <c r="S383" i="3" l="1"/>
  <c r="S386" i="3" l="1"/>
  <c r="T380" i="3"/>
  <c r="T383" i="3" l="1"/>
  <c r="T386" i="3" l="1"/>
  <c r="P402" i="3" l="1"/>
  <c r="D210" i="2"/>
  <c r="P507" i="3"/>
  <c r="O496" i="3"/>
  <c r="P514" i="3" s="1"/>
  <c r="Q496" i="3"/>
  <c r="R496" i="3" s="1"/>
  <c r="S496" i="3" s="1"/>
  <c r="T496" i="3" s="1"/>
  <c r="Q495" i="3"/>
  <c r="S495" i="3" s="1"/>
  <c r="T495" i="3" s="1"/>
  <c r="U495" i="3" s="1"/>
  <c r="O518" i="3"/>
  <c r="O511" i="3"/>
  <c r="O504" i="3"/>
  <c r="U166" i="3"/>
  <c r="U183" i="3" s="1"/>
  <c r="AN185" i="3" s="1"/>
  <c r="Z17" i="3"/>
  <c r="AA17" i="3"/>
  <c r="AB17" i="3"/>
  <c r="AC17" i="3"/>
  <c r="AE17" i="3"/>
  <c r="AF17" i="3"/>
  <c r="AG17" i="3"/>
  <c r="Y17" i="3"/>
  <c r="Y21" i="3"/>
  <c r="Z20" i="3"/>
  <c r="AA20" i="3"/>
  <c r="AB20" i="3"/>
  <c r="AC20" i="3"/>
  <c r="AD20" i="3"/>
  <c r="AF20" i="3"/>
  <c r="Y20" i="3"/>
  <c r="Z21" i="3"/>
  <c r="AA21" i="3"/>
  <c r="AB21" i="3"/>
  <c r="AC21" i="3"/>
  <c r="AD21" i="3"/>
  <c r="AE21" i="3"/>
  <c r="AF21" i="3"/>
  <c r="P348" i="3"/>
  <c r="P306" i="3"/>
  <c r="P266" i="3"/>
  <c r="Q266" i="3" s="1"/>
  <c r="R266" i="3" s="1"/>
  <c r="S266" i="3" s="1"/>
  <c r="T266" i="3" s="1"/>
  <c r="T262" i="3"/>
  <c r="S262" i="3"/>
  <c r="R262" i="3"/>
  <c r="Q262" i="3"/>
  <c r="P262" i="3"/>
  <c r="T239" i="3"/>
  <c r="S239" i="3"/>
  <c r="R239" i="3"/>
  <c r="Q239" i="3"/>
  <c r="P239" i="3"/>
  <c r="Z226" i="3"/>
  <c r="Z223" i="3"/>
  <c r="N253" i="3"/>
  <c r="M253" i="3"/>
  <c r="L253" i="3"/>
  <c r="K253" i="3"/>
  <c r="J253" i="3"/>
  <c r="I253" i="3"/>
  <c r="P226" i="3"/>
  <c r="P225" i="3"/>
  <c r="Q226" i="3" s="1"/>
  <c r="P224" i="3"/>
  <c r="Q225" i="3" s="1"/>
  <c r="R226" i="3" s="1"/>
  <c r="P223" i="3"/>
  <c r="Q224" i="3" s="1"/>
  <c r="R225" i="3" s="1"/>
  <c r="S226" i="3" s="1"/>
  <c r="H171" i="3"/>
  <c r="I171" i="3"/>
  <c r="J171" i="3"/>
  <c r="K171" i="3"/>
  <c r="L171" i="3"/>
  <c r="M171" i="3"/>
  <c r="N171" i="3"/>
  <c r="O171" i="3"/>
  <c r="H172" i="3"/>
  <c r="I172" i="3"/>
  <c r="J172" i="3"/>
  <c r="K172" i="3"/>
  <c r="L172" i="3"/>
  <c r="M172" i="3"/>
  <c r="N172" i="3"/>
  <c r="O172" i="3"/>
  <c r="G172" i="3"/>
  <c r="G171" i="3"/>
  <c r="O170" i="3"/>
  <c r="O188" i="3" s="1"/>
  <c r="AH189" i="3" s="1"/>
  <c r="N170" i="3"/>
  <c r="N188" i="3" s="1"/>
  <c r="AG189" i="3" s="1"/>
  <c r="M170" i="3"/>
  <c r="M188" i="3" s="1"/>
  <c r="AF189" i="3" s="1"/>
  <c r="L170" i="3"/>
  <c r="L188" i="3" s="1"/>
  <c r="AE189" i="3" s="1"/>
  <c r="K170" i="3"/>
  <c r="K188" i="3" s="1"/>
  <c r="AD189" i="3" s="1"/>
  <c r="J170" i="3"/>
  <c r="J188" i="3" s="1"/>
  <c r="I170" i="3"/>
  <c r="I188" i="3" s="1"/>
  <c r="H170" i="3"/>
  <c r="H188" i="3" s="1"/>
  <c r="G170" i="3"/>
  <c r="G188" i="3" s="1"/>
  <c r="O161" i="3"/>
  <c r="O169" i="3" s="1"/>
  <c r="N161" i="3"/>
  <c r="N169" i="3" s="1"/>
  <c r="M161" i="3"/>
  <c r="M169" i="3" s="1"/>
  <c r="M175" i="3" s="1"/>
  <c r="L161" i="3"/>
  <c r="L169" i="3" s="1"/>
  <c r="K161" i="3"/>
  <c r="K169" i="3" s="1"/>
  <c r="J161" i="3"/>
  <c r="J169" i="3" s="1"/>
  <c r="I161" i="3"/>
  <c r="I169" i="3" s="1"/>
  <c r="H161" i="3"/>
  <c r="H169" i="3" s="1"/>
  <c r="G161" i="3"/>
  <c r="Q154" i="3"/>
  <c r="Q155" i="3"/>
  <c r="Q156" i="3"/>
  <c r="Q157" i="3"/>
  <c r="Q158" i="3"/>
  <c r="Q159" i="3"/>
  <c r="R159" i="3" s="1"/>
  <c r="S159" i="3" s="1"/>
  <c r="T159" i="3" s="1"/>
  <c r="U159" i="3" s="1"/>
  <c r="Q153" i="3"/>
  <c r="Q152" i="3"/>
  <c r="Q151" i="3"/>
  <c r="Q150" i="3"/>
  <c r="Q149" i="3"/>
  <c r="P146" i="3"/>
  <c r="P145" i="3"/>
  <c r="P144" i="3"/>
  <c r="P143" i="3"/>
  <c r="P142" i="3"/>
  <c r="P141" i="3"/>
  <c r="P140" i="3"/>
  <c r="P139" i="3"/>
  <c r="P138" i="3"/>
  <c r="P137" i="3"/>
  <c r="P136" i="3"/>
  <c r="O159" i="3"/>
  <c r="I150" i="3"/>
  <c r="J150" i="3"/>
  <c r="K150" i="3"/>
  <c r="L150" i="3"/>
  <c r="M150" i="3"/>
  <c r="N150" i="3"/>
  <c r="O150" i="3"/>
  <c r="I151" i="3"/>
  <c r="J151" i="3"/>
  <c r="K151" i="3"/>
  <c r="L151" i="3"/>
  <c r="M151" i="3"/>
  <c r="N151" i="3"/>
  <c r="O151" i="3"/>
  <c r="I152" i="3"/>
  <c r="J152" i="3"/>
  <c r="K152" i="3"/>
  <c r="L152" i="3"/>
  <c r="M152" i="3"/>
  <c r="N152" i="3"/>
  <c r="O152" i="3"/>
  <c r="I153" i="3"/>
  <c r="J153" i="3"/>
  <c r="K153" i="3"/>
  <c r="L153" i="3"/>
  <c r="M153" i="3"/>
  <c r="N153" i="3"/>
  <c r="O153" i="3"/>
  <c r="I154" i="3"/>
  <c r="J154" i="3"/>
  <c r="K154" i="3"/>
  <c r="L154" i="3"/>
  <c r="M154" i="3"/>
  <c r="N154" i="3"/>
  <c r="O154" i="3"/>
  <c r="I155" i="3"/>
  <c r="J155" i="3"/>
  <c r="K155" i="3"/>
  <c r="L155" i="3"/>
  <c r="M155" i="3"/>
  <c r="N155" i="3"/>
  <c r="O155" i="3"/>
  <c r="I156" i="3"/>
  <c r="J156" i="3"/>
  <c r="K156" i="3"/>
  <c r="L156" i="3"/>
  <c r="M156" i="3"/>
  <c r="N156" i="3"/>
  <c r="O156" i="3"/>
  <c r="I157" i="3"/>
  <c r="J157" i="3"/>
  <c r="K157" i="3"/>
  <c r="L157" i="3"/>
  <c r="M157" i="3"/>
  <c r="N157" i="3"/>
  <c r="O157" i="3"/>
  <c r="I158" i="3"/>
  <c r="J158" i="3"/>
  <c r="K158" i="3"/>
  <c r="L158" i="3"/>
  <c r="M158" i="3"/>
  <c r="N158" i="3"/>
  <c r="O158" i="3"/>
  <c r="I159" i="3"/>
  <c r="J159" i="3"/>
  <c r="H150" i="3"/>
  <c r="H151" i="3"/>
  <c r="H152" i="3"/>
  <c r="H153" i="3"/>
  <c r="H154" i="3"/>
  <c r="H155" i="3"/>
  <c r="H156" i="3"/>
  <c r="H157" i="3"/>
  <c r="H158" i="3"/>
  <c r="H159" i="3"/>
  <c r="I149" i="3"/>
  <c r="J149" i="3"/>
  <c r="K149" i="3"/>
  <c r="L149" i="3"/>
  <c r="M149" i="3"/>
  <c r="N149" i="3"/>
  <c r="O149" i="3"/>
  <c r="H149" i="3"/>
  <c r="G55" i="2"/>
  <c r="H55" i="2"/>
  <c r="I55" i="2"/>
  <c r="J55" i="2"/>
  <c r="K55" i="2"/>
  <c r="L55" i="2"/>
  <c r="M55" i="2"/>
  <c r="N55" i="2"/>
  <c r="F55" i="2"/>
  <c r="F243" i="2" l="1"/>
  <c r="G243" i="2" s="1"/>
  <c r="D214" i="2"/>
  <c r="AG192" i="3"/>
  <c r="AG193" i="3"/>
  <c r="Z189" i="3"/>
  <c r="AH193" i="3"/>
  <c r="AH192" i="3"/>
  <c r="AA189" i="3"/>
  <c r="AF193" i="3"/>
  <c r="AF192" i="3"/>
  <c r="AB189" i="3"/>
  <c r="AE192" i="3"/>
  <c r="AE193" i="3"/>
  <c r="AC189" i="3"/>
  <c r="AD192" i="3"/>
  <c r="AD193" i="3"/>
  <c r="U209" i="3"/>
  <c r="U250" i="3" s="1"/>
  <c r="U282" i="3" s="1"/>
  <c r="U324" i="3" s="1"/>
  <c r="G169" i="3"/>
  <c r="G175" i="3" s="1"/>
  <c r="G213" i="3"/>
  <c r="Q145" i="3"/>
  <c r="R145" i="3" s="1"/>
  <c r="S145" i="3" s="1"/>
  <c r="T145" i="3" s="1"/>
  <c r="U145" i="3" s="1"/>
  <c r="Q514" i="3"/>
  <c r="R514" i="3" s="1"/>
  <c r="S514" i="3" s="1"/>
  <c r="T514" i="3" s="1"/>
  <c r="Q507" i="3"/>
  <c r="Q510" i="3" s="1"/>
  <c r="R507" i="3"/>
  <c r="S507" i="3"/>
  <c r="T507" i="3"/>
  <c r="U496" i="3"/>
  <c r="P510" i="3"/>
  <c r="O267" i="3"/>
  <c r="P271" i="3"/>
  <c r="H213" i="3"/>
  <c r="O213" i="3"/>
  <c r="K213" i="3"/>
  <c r="M213" i="3"/>
  <c r="L213" i="3"/>
  <c r="J213" i="3"/>
  <c r="G253" i="3"/>
  <c r="O253" i="3"/>
  <c r="I213" i="3"/>
  <c r="H253" i="3"/>
  <c r="I187" i="3"/>
  <c r="N213" i="3"/>
  <c r="P260" i="3"/>
  <c r="Q223" i="3"/>
  <c r="R224" i="3" s="1"/>
  <c r="S225" i="3" s="1"/>
  <c r="T226" i="3" s="1"/>
  <c r="J187" i="3"/>
  <c r="K187" i="3"/>
  <c r="L187" i="3"/>
  <c r="M187" i="3"/>
  <c r="N187" i="3"/>
  <c r="G187" i="3"/>
  <c r="O187" i="3"/>
  <c r="H187" i="3"/>
  <c r="L176" i="3"/>
  <c r="L175" i="3"/>
  <c r="O174" i="3"/>
  <c r="N174" i="3"/>
  <c r="K176" i="3"/>
  <c r="K175" i="3"/>
  <c r="J176" i="3"/>
  <c r="J175" i="3"/>
  <c r="H174" i="3"/>
  <c r="I176" i="3"/>
  <c r="I175" i="3"/>
  <c r="I174" i="3"/>
  <c r="H176" i="3"/>
  <c r="H175" i="3"/>
  <c r="J174" i="3"/>
  <c r="O176" i="3"/>
  <c r="O175" i="3"/>
  <c r="K174" i="3"/>
  <c r="N176" i="3"/>
  <c r="N175" i="3"/>
  <c r="L174" i="3"/>
  <c r="M176" i="3"/>
  <c r="M174" i="3"/>
  <c r="Q144" i="3"/>
  <c r="R144" i="3" s="1"/>
  <c r="S144" i="3" s="1"/>
  <c r="T144" i="3" s="1"/>
  <c r="U144" i="3" s="1"/>
  <c r="Q136" i="3"/>
  <c r="R136" i="3" s="1"/>
  <c r="Q146" i="3"/>
  <c r="R146" i="3" s="1"/>
  <c r="S146" i="3" s="1"/>
  <c r="T146" i="3" s="1"/>
  <c r="U146" i="3" s="1"/>
  <c r="Q142" i="3"/>
  <c r="R142" i="3" s="1"/>
  <c r="S142" i="3" s="1"/>
  <c r="T142" i="3" s="1"/>
  <c r="U142" i="3" s="1"/>
  <c r="Q143" i="3"/>
  <c r="R143" i="3" s="1"/>
  <c r="S143" i="3" s="1"/>
  <c r="T143" i="3" s="1"/>
  <c r="U143" i="3" s="1"/>
  <c r="Q141" i="3"/>
  <c r="R141" i="3" s="1"/>
  <c r="S141" i="3" s="1"/>
  <c r="T141" i="3" s="1"/>
  <c r="U141" i="3" s="1"/>
  <c r="Q140" i="3"/>
  <c r="R140" i="3" s="1"/>
  <c r="S140" i="3" s="1"/>
  <c r="T140" i="3" s="1"/>
  <c r="U140" i="3" s="1"/>
  <c r="Q139" i="3"/>
  <c r="R139" i="3" s="1"/>
  <c r="S139" i="3" s="1"/>
  <c r="T139" i="3" s="1"/>
  <c r="U139" i="3" s="1"/>
  <c r="Q138" i="3"/>
  <c r="R138" i="3" s="1"/>
  <c r="S138" i="3" s="1"/>
  <c r="T138" i="3" s="1"/>
  <c r="U138" i="3" s="1"/>
  <c r="Q137" i="3"/>
  <c r="P161" i="3"/>
  <c r="F236" i="2" l="1"/>
  <c r="G236" i="2" s="1"/>
  <c r="D215" i="2"/>
  <c r="G174" i="3"/>
  <c r="AE188" i="3"/>
  <c r="AE191" i="3" s="1"/>
  <c r="AC188" i="3"/>
  <c r="AC191" i="3" s="1"/>
  <c r="AF188" i="3"/>
  <c r="AF191" i="3" s="1"/>
  <c r="AA188" i="3"/>
  <c r="AA191" i="3" s="1"/>
  <c r="AH188" i="3"/>
  <c r="AH191" i="3" s="1"/>
  <c r="AA192" i="3"/>
  <c r="AA193" i="3"/>
  <c r="G176" i="3"/>
  <c r="AB193" i="3"/>
  <c r="AB192" i="3"/>
  <c r="Z193" i="3"/>
  <c r="Z192" i="3"/>
  <c r="AD188" i="3"/>
  <c r="AD191" i="3" s="1"/>
  <c r="Z188" i="3"/>
  <c r="Z191" i="3" s="1"/>
  <c r="AG188" i="3"/>
  <c r="AG191" i="3" s="1"/>
  <c r="AB188" i="3"/>
  <c r="AB191" i="3" s="1"/>
  <c r="AC192" i="3"/>
  <c r="AC193" i="3"/>
  <c r="I561" i="3"/>
  <c r="H23" i="7" s="1"/>
  <c r="F560" i="3"/>
  <c r="E22" i="7" s="1"/>
  <c r="H558" i="3"/>
  <c r="G20" i="7" s="1"/>
  <c r="E557" i="3"/>
  <c r="D19" i="7" s="1"/>
  <c r="H561" i="3"/>
  <c r="G23" i="7" s="1"/>
  <c r="E560" i="3"/>
  <c r="D22" i="7" s="1"/>
  <c r="G558" i="3"/>
  <c r="F20" i="7" s="1"/>
  <c r="G561" i="3"/>
  <c r="F23" i="7" s="1"/>
  <c r="I559" i="3"/>
  <c r="H21" i="7" s="1"/>
  <c r="F558" i="3"/>
  <c r="E20" i="7" s="1"/>
  <c r="F561" i="3"/>
  <c r="E23" i="7" s="1"/>
  <c r="H559" i="3"/>
  <c r="G21" i="7" s="1"/>
  <c r="E558" i="3"/>
  <c r="D20" i="7" s="1"/>
  <c r="I560" i="3"/>
  <c r="H22" i="7" s="1"/>
  <c r="E561" i="3"/>
  <c r="G559" i="3"/>
  <c r="I557" i="3"/>
  <c r="H19" i="7" s="1"/>
  <c r="F559" i="3"/>
  <c r="E21" i="7" s="1"/>
  <c r="H557" i="3"/>
  <c r="F29" i="7" s="1"/>
  <c r="G29" i="7" s="1"/>
  <c r="H560" i="3"/>
  <c r="G22" i="7" s="1"/>
  <c r="E559" i="3"/>
  <c r="D21" i="7" s="1"/>
  <c r="G557" i="3"/>
  <c r="F19" i="7" s="1"/>
  <c r="G560" i="3"/>
  <c r="F22" i="7" s="1"/>
  <c r="I558" i="3"/>
  <c r="H20" i="7" s="1"/>
  <c r="F557" i="3"/>
  <c r="E19" i="7" s="1"/>
  <c r="S136" i="3"/>
  <c r="T136" i="3" s="1"/>
  <c r="U136" i="3" s="1"/>
  <c r="P4" i="3"/>
  <c r="AH93" i="3" s="1"/>
  <c r="P93" i="3" s="1"/>
  <c r="P212" i="3"/>
  <c r="U456" i="3"/>
  <c r="U489" i="3" s="1"/>
  <c r="U366" i="3"/>
  <c r="U399" i="3" s="1"/>
  <c r="U428" i="3" s="1"/>
  <c r="R510" i="3"/>
  <c r="Q517" i="3"/>
  <c r="P517" i="3"/>
  <c r="P187" i="3"/>
  <c r="P162" i="3"/>
  <c r="P169" i="3"/>
  <c r="R137" i="3"/>
  <c r="R161" i="3" s="1"/>
  <c r="R212" i="3" s="1"/>
  <c r="H223" i="2" s="1"/>
  <c r="Q161" i="3"/>
  <c r="Q212" i="3" s="1"/>
  <c r="G223" i="2" s="1"/>
  <c r="F31" i="7" l="1"/>
  <c r="G31" i="7" s="1"/>
  <c r="F21" i="7"/>
  <c r="F30" i="7"/>
  <c r="G30" i="7" s="1"/>
  <c r="G19" i="7"/>
  <c r="D23" i="7"/>
  <c r="M548" i="3"/>
  <c r="P549" i="3"/>
  <c r="N550" i="3"/>
  <c r="Q549" i="3"/>
  <c r="N551" i="3"/>
  <c r="M549" i="3"/>
  <c r="P551" i="3"/>
  <c r="P550" i="3"/>
  <c r="P548" i="3"/>
  <c r="N548" i="3"/>
  <c r="N547" i="3"/>
  <c r="Q551" i="3"/>
  <c r="Q548" i="3"/>
  <c r="O549" i="3"/>
  <c r="O551" i="3"/>
  <c r="O548" i="3"/>
  <c r="M547" i="3"/>
  <c r="P547" i="3"/>
  <c r="N549" i="3"/>
  <c r="Q547" i="3"/>
  <c r="O550" i="3"/>
  <c r="M551" i="3"/>
  <c r="O547" i="3"/>
  <c r="Q550" i="3"/>
  <c r="M550" i="3"/>
  <c r="AH106" i="3"/>
  <c r="AH16" i="3"/>
  <c r="P18" i="3" s="1"/>
  <c r="P42" i="3" s="1"/>
  <c r="AH19" i="3"/>
  <c r="AH87" i="3"/>
  <c r="P87" i="3" s="1"/>
  <c r="F220" i="2"/>
  <c r="AI188" i="3"/>
  <c r="AI195" i="3" s="1"/>
  <c r="AI199" i="3" s="1"/>
  <c r="P51" i="3"/>
  <c r="AH54" i="3" s="1"/>
  <c r="P54" i="3" s="1"/>
  <c r="F223" i="2"/>
  <c r="AH91" i="3"/>
  <c r="P91" i="3" s="1"/>
  <c r="AH49" i="3"/>
  <c r="P56" i="3" s="1"/>
  <c r="AH143" i="3"/>
  <c r="P110" i="3" s="1"/>
  <c r="P111" i="3" s="1"/>
  <c r="R517" i="3"/>
  <c r="S510" i="3"/>
  <c r="P472" i="3"/>
  <c r="P483" i="3" s="1"/>
  <c r="Q51" i="3"/>
  <c r="Q4" i="3"/>
  <c r="G220" i="2" s="1"/>
  <c r="Q187" i="3"/>
  <c r="N231" i="3"/>
  <c r="P253" i="3"/>
  <c r="P261" i="3" s="1"/>
  <c r="P272" i="3" s="1"/>
  <c r="P273" i="3" s="1"/>
  <c r="P172" i="3"/>
  <c r="P180" i="3" s="1"/>
  <c r="P9" i="3" s="1"/>
  <c r="P170" i="3"/>
  <c r="P171" i="3"/>
  <c r="P179" i="3" s="1"/>
  <c r="P10" i="3" s="1"/>
  <c r="Q162" i="3"/>
  <c r="Q169" i="3"/>
  <c r="S137" i="3"/>
  <c r="O12" i="7" l="1"/>
  <c r="P560" i="3"/>
  <c r="O22" i="7" s="1"/>
  <c r="N9" i="7"/>
  <c r="O557" i="3"/>
  <c r="N19" i="7" s="1"/>
  <c r="N13" i="7"/>
  <c r="O561" i="3"/>
  <c r="N23" i="7" s="1"/>
  <c r="O13" i="7"/>
  <c r="P561" i="3"/>
  <c r="O23" i="7" s="1"/>
  <c r="M13" i="7"/>
  <c r="N561" i="3"/>
  <c r="M23" i="7" s="1"/>
  <c r="P11" i="7"/>
  <c r="Q559" i="3"/>
  <c r="P21" i="7" s="1"/>
  <c r="N10" i="7"/>
  <c r="O558" i="3"/>
  <c r="N20" i="7" s="1"/>
  <c r="N11" i="7"/>
  <c r="O559" i="3"/>
  <c r="N21" i="7" s="1"/>
  <c r="N12" i="7"/>
  <c r="O560" i="3"/>
  <c r="N22" i="7" s="1"/>
  <c r="P9" i="7"/>
  <c r="Q557" i="3"/>
  <c r="P19" i="7" s="1"/>
  <c r="M9" i="7"/>
  <c r="N557" i="3"/>
  <c r="M19" i="7" s="1"/>
  <c r="M12" i="7"/>
  <c r="N560" i="3"/>
  <c r="M22" i="7" s="1"/>
  <c r="O9" i="7"/>
  <c r="P557" i="3"/>
  <c r="O19" i="7" s="1"/>
  <c r="M10" i="7"/>
  <c r="N558" i="3"/>
  <c r="M20" i="7" s="1"/>
  <c r="O11" i="7"/>
  <c r="P559" i="3"/>
  <c r="O21" i="7" s="1"/>
  <c r="P12" i="7"/>
  <c r="Q560" i="3"/>
  <c r="P22" i="7" s="1"/>
  <c r="L13" i="7"/>
  <c r="M561" i="3"/>
  <c r="L23" i="7" s="1"/>
  <c r="L11" i="7"/>
  <c r="M559" i="3"/>
  <c r="L21" i="7" s="1"/>
  <c r="P10" i="7"/>
  <c r="Q558" i="3"/>
  <c r="P20" i="7" s="1"/>
  <c r="P13" i="7"/>
  <c r="Q561" i="3"/>
  <c r="P23" i="7" s="1"/>
  <c r="M11" i="7"/>
  <c r="N559" i="3"/>
  <c r="M21" i="7" s="1"/>
  <c r="L12" i="7"/>
  <c r="M560" i="3"/>
  <c r="L22" i="7" s="1"/>
  <c r="O10" i="7"/>
  <c r="P558" i="3"/>
  <c r="O20" i="7" s="1"/>
  <c r="L10" i="7"/>
  <c r="M558" i="3"/>
  <c r="L20" i="7" s="1"/>
  <c r="L9" i="7"/>
  <c r="M557" i="3"/>
  <c r="L19" i="7" s="1"/>
  <c r="F227" i="2"/>
  <c r="N540" i="3"/>
  <c r="O231" i="3"/>
  <c r="P231" i="3" s="1"/>
  <c r="AJ188" i="3"/>
  <c r="AJ195" i="3" s="1"/>
  <c r="G227" i="2"/>
  <c r="AI49" i="3"/>
  <c r="Q56" i="3" s="1"/>
  <c r="AI143" i="3"/>
  <c r="Q110" i="3" s="1"/>
  <c r="Q111" i="3" s="1"/>
  <c r="AI87" i="3"/>
  <c r="Q87" i="3" s="1"/>
  <c r="AI91" i="3"/>
  <c r="Q91" i="3" s="1"/>
  <c r="AI93" i="3"/>
  <c r="Q93" i="3" s="1"/>
  <c r="AI106" i="3"/>
  <c r="AI54" i="3"/>
  <c r="Q54" i="3" s="1"/>
  <c r="P478" i="3"/>
  <c r="S517" i="3"/>
  <c r="AI19" i="3"/>
  <c r="AI16" i="3"/>
  <c r="Q18" i="3" s="1"/>
  <c r="Q42" i="3" s="1"/>
  <c r="Q472" i="3"/>
  <c r="Q483" i="3" s="1"/>
  <c r="R51" i="3"/>
  <c r="R4" i="3"/>
  <c r="P11" i="3"/>
  <c r="P295" i="3"/>
  <c r="P337" i="3" s="1"/>
  <c r="N232" i="3"/>
  <c r="O232" i="3" s="1"/>
  <c r="Q253" i="3"/>
  <c r="Q261" i="3" s="1"/>
  <c r="Q272" i="3" s="1"/>
  <c r="R187" i="3"/>
  <c r="P178" i="3"/>
  <c r="P5" i="3" s="1"/>
  <c r="AH99" i="3" s="1"/>
  <c r="AH98" i="3" s="1"/>
  <c r="P101" i="3" s="1"/>
  <c r="P188" i="3"/>
  <c r="AI189" i="3" s="1"/>
  <c r="Q172" i="3"/>
  <c r="Q180" i="3" s="1"/>
  <c r="Q9" i="3" s="1"/>
  <c r="Q170" i="3"/>
  <c r="Q171" i="3"/>
  <c r="Q179" i="3" s="1"/>
  <c r="Q10" i="3" s="1"/>
  <c r="R162" i="3"/>
  <c r="R169" i="3"/>
  <c r="T137" i="3"/>
  <c r="S161" i="3"/>
  <c r="S212" i="3" s="1"/>
  <c r="I223" i="2" s="1"/>
  <c r="AJ49" i="3" l="1"/>
  <c r="R56" i="3" s="1"/>
  <c r="H220" i="2"/>
  <c r="AJ199" i="3"/>
  <c r="AK188" i="3"/>
  <c r="AK195" i="3" s="1"/>
  <c r="AI196" i="3"/>
  <c r="AI197" i="3"/>
  <c r="AJ106" i="3"/>
  <c r="AJ143" i="3"/>
  <c r="R110" i="3" s="1"/>
  <c r="R111" i="3" s="1"/>
  <c r="AJ54" i="3"/>
  <c r="R54" i="3" s="1"/>
  <c r="AJ87" i="3"/>
  <c r="R87" i="3" s="1"/>
  <c r="AJ91" i="3"/>
  <c r="R91" i="3" s="1"/>
  <c r="AJ93" i="3"/>
  <c r="R93" i="3" s="1"/>
  <c r="Q478" i="3"/>
  <c r="P6" i="3"/>
  <c r="T161" i="3"/>
  <c r="T212" i="3" s="1"/>
  <c r="J223" i="2" s="1"/>
  <c r="U137" i="3"/>
  <c r="U161" i="3" s="1"/>
  <c r="U212" i="3" s="1"/>
  <c r="AJ19" i="3"/>
  <c r="AJ16" i="3"/>
  <c r="R18" i="3" s="1"/>
  <c r="R42" i="3" s="1"/>
  <c r="R472" i="3"/>
  <c r="R483" i="3" s="1"/>
  <c r="Q11" i="3"/>
  <c r="S51" i="3"/>
  <c r="S4" i="3"/>
  <c r="P274" i="3"/>
  <c r="Q271" i="3" s="1"/>
  <c r="Q273" i="3" s="1"/>
  <c r="Q295" i="3" s="1"/>
  <c r="Q337" i="3" s="1"/>
  <c r="N233" i="3"/>
  <c r="O233" i="3" s="1"/>
  <c r="R253" i="3"/>
  <c r="R261" i="3" s="1"/>
  <c r="R272" i="3" s="1"/>
  <c r="P232" i="3"/>
  <c r="Q232" i="3"/>
  <c r="S187" i="3"/>
  <c r="Q178" i="3"/>
  <c r="Q5" i="3" s="1"/>
  <c r="AI99" i="3" s="1"/>
  <c r="AI98" i="3" s="1"/>
  <c r="Q101" i="3" s="1"/>
  <c r="Q188" i="3"/>
  <c r="AJ189" i="3" s="1"/>
  <c r="R172" i="3"/>
  <c r="R180" i="3" s="1"/>
  <c r="R9" i="3" s="1"/>
  <c r="R170" i="3"/>
  <c r="R171" i="3"/>
  <c r="R179" i="3" s="1"/>
  <c r="R10" i="3" s="1"/>
  <c r="S162" i="3"/>
  <c r="S169" i="3"/>
  <c r="AK199" i="3" l="1"/>
  <c r="AK49" i="3"/>
  <c r="S56" i="3" s="1"/>
  <c r="I220" i="2"/>
  <c r="I227" i="2" s="1"/>
  <c r="AL188" i="3"/>
  <c r="AL195" i="3" s="1"/>
  <c r="H227" i="2"/>
  <c r="AJ197" i="3"/>
  <c r="AJ201" i="3" s="1"/>
  <c r="AJ196" i="3"/>
  <c r="AJ200" i="3" s="1"/>
  <c r="AI201" i="3"/>
  <c r="AI200" i="3"/>
  <c r="AK106" i="3"/>
  <c r="AK143" i="3"/>
  <c r="S110" i="3" s="1"/>
  <c r="S111" i="3" s="1"/>
  <c r="P15" i="3"/>
  <c r="P327" i="3" s="1"/>
  <c r="P335" i="3" s="1"/>
  <c r="P358" i="3" s="1"/>
  <c r="T169" i="3"/>
  <c r="T171" i="3" s="1"/>
  <c r="T179" i="3" s="1"/>
  <c r="T10" i="3" s="1"/>
  <c r="T51" i="3"/>
  <c r="AK54" i="3"/>
  <c r="S54" i="3" s="1"/>
  <c r="AK87" i="3"/>
  <c r="S87" i="3" s="1"/>
  <c r="AK91" i="3"/>
  <c r="S91" i="3" s="1"/>
  <c r="AK93" i="3"/>
  <c r="S93" i="3" s="1"/>
  <c r="R478" i="3"/>
  <c r="Q6" i="3"/>
  <c r="Q15" i="3" s="1"/>
  <c r="Q469" i="3" s="1"/>
  <c r="T162" i="3"/>
  <c r="T187" i="3"/>
  <c r="T4" i="3"/>
  <c r="U162" i="3"/>
  <c r="U169" i="3"/>
  <c r="U471" i="3"/>
  <c r="U4" i="3"/>
  <c r="U187" i="3"/>
  <c r="R11" i="3"/>
  <c r="AK19" i="3"/>
  <c r="AK16" i="3"/>
  <c r="S18" i="3" s="1"/>
  <c r="S42" i="3" s="1"/>
  <c r="S472" i="3"/>
  <c r="S483" i="3" s="1"/>
  <c r="Q274" i="3"/>
  <c r="R271" i="3" s="1"/>
  <c r="N234" i="3"/>
  <c r="O234" i="3" s="1"/>
  <c r="S253" i="3"/>
  <c r="S261" i="3" s="1"/>
  <c r="S272" i="3" s="1"/>
  <c r="Q233" i="3"/>
  <c r="P233" i="3"/>
  <c r="R233" i="3"/>
  <c r="R178" i="3"/>
  <c r="R5" i="3" s="1"/>
  <c r="AJ99" i="3" s="1"/>
  <c r="AJ98" i="3" s="1"/>
  <c r="R101" i="3" s="1"/>
  <c r="R188" i="3"/>
  <c r="AK189" i="3" s="1"/>
  <c r="S171" i="3"/>
  <c r="S179" i="3" s="1"/>
  <c r="S10" i="3" s="1"/>
  <c r="S172" i="3"/>
  <c r="S180" i="3" s="1"/>
  <c r="S9" i="3" s="1"/>
  <c r="S170" i="3"/>
  <c r="AI202" i="3" l="1"/>
  <c r="AM188" i="3"/>
  <c r="AM195" i="3" s="1"/>
  <c r="U196" i="3"/>
  <c r="AN188" i="3"/>
  <c r="AN195" i="3" s="1"/>
  <c r="AL49" i="3"/>
  <c r="T56" i="3" s="1"/>
  <c r="J220" i="2"/>
  <c r="J227" i="2" s="1"/>
  <c r="F237" i="2"/>
  <c r="I236" i="2" s="1"/>
  <c r="AL199" i="3"/>
  <c r="AJ202" i="3"/>
  <c r="AK197" i="3"/>
  <c r="AK201" i="3" s="1"/>
  <c r="AK196" i="3"/>
  <c r="AK200" i="3" s="1"/>
  <c r="T170" i="3"/>
  <c r="T178" i="3" s="1"/>
  <c r="T5" i="3" s="1"/>
  <c r="T6" i="3" s="1"/>
  <c r="AL106" i="3"/>
  <c r="AL143" i="3"/>
  <c r="T110" i="3" s="1"/>
  <c r="T111" i="3" s="1"/>
  <c r="T172" i="3"/>
  <c r="T180" i="3" s="1"/>
  <c r="T9" i="3" s="1"/>
  <c r="T11" i="3" s="1"/>
  <c r="P469" i="3"/>
  <c r="AL87" i="3"/>
  <c r="T87" i="3" s="1"/>
  <c r="AL91" i="3"/>
  <c r="T91" i="3" s="1"/>
  <c r="AL93" i="3"/>
  <c r="T93" i="3" s="1"/>
  <c r="AL54" i="3"/>
  <c r="T54" i="3" s="1"/>
  <c r="T253" i="3"/>
  <c r="T261" i="3" s="1"/>
  <c r="T272" i="3" s="1"/>
  <c r="S478" i="3"/>
  <c r="N235" i="3"/>
  <c r="R6" i="3"/>
  <c r="R15" i="3" s="1"/>
  <c r="R469" i="3" s="1"/>
  <c r="T472" i="3"/>
  <c r="T483" i="3" s="1"/>
  <c r="AL16" i="3"/>
  <c r="T18" i="3" s="1"/>
  <c r="T42" i="3" s="1"/>
  <c r="AL19" i="3"/>
  <c r="Q327" i="3"/>
  <c r="Q335" i="3" s="1"/>
  <c r="U253" i="3"/>
  <c r="U472" i="3"/>
  <c r="AM19" i="3"/>
  <c r="AM16" i="3"/>
  <c r="U18" i="3" s="1"/>
  <c r="U478" i="3" s="1"/>
  <c r="U171" i="3"/>
  <c r="U179" i="3" s="1"/>
  <c r="U10" i="3" s="1"/>
  <c r="U170" i="3"/>
  <c r="U172" i="3"/>
  <c r="U180" i="3" s="1"/>
  <c r="U9" i="3" s="1"/>
  <c r="P349" i="3"/>
  <c r="S11" i="3"/>
  <c r="R273" i="3"/>
  <c r="R295" i="3" s="1"/>
  <c r="R337" i="3" s="1"/>
  <c r="R234" i="3"/>
  <c r="Q234" i="3"/>
  <c r="P234" i="3"/>
  <c r="S234" i="3"/>
  <c r="S178" i="3"/>
  <c r="S5" i="3" s="1"/>
  <c r="AK99" i="3" s="1"/>
  <c r="AK98" i="3" s="1"/>
  <c r="S101" i="3" s="1"/>
  <c r="S188" i="3"/>
  <c r="AL189" i="3" s="1"/>
  <c r="AN199" i="3" l="1"/>
  <c r="G237" i="2"/>
  <c r="J236" i="2" s="1"/>
  <c r="AM199" i="3"/>
  <c r="AK202" i="3"/>
  <c r="AL197" i="3"/>
  <c r="AL201" i="3" s="1"/>
  <c r="AL196" i="3"/>
  <c r="Q349" i="3"/>
  <c r="Q358" i="3"/>
  <c r="O235" i="3"/>
  <c r="T235" i="3" s="1"/>
  <c r="AL99" i="3"/>
  <c r="AL98" i="3" s="1"/>
  <c r="T101" i="3" s="1"/>
  <c r="T188" i="3"/>
  <c r="T15" i="3"/>
  <c r="T327" i="3" s="1"/>
  <c r="T335" i="3" s="1"/>
  <c r="T478" i="3"/>
  <c r="S6" i="3"/>
  <c r="S15" i="3" s="1"/>
  <c r="S469" i="3" s="1"/>
  <c r="U294" i="3"/>
  <c r="U483" i="3"/>
  <c r="U11" i="3"/>
  <c r="U188" i="3"/>
  <c r="AN189" i="3" s="1"/>
  <c r="U178" i="3"/>
  <c r="U5" i="3" s="1"/>
  <c r="U6" i="3" s="1"/>
  <c r="R327" i="3"/>
  <c r="R335" i="3" s="1"/>
  <c r="R358" i="3" s="1"/>
  <c r="R274" i="3"/>
  <c r="S271" i="3" s="1"/>
  <c r="P235" i="3" l="1"/>
  <c r="P240" i="3" s="1"/>
  <c r="P241" i="3" s="1"/>
  <c r="P41" i="3" s="1"/>
  <c r="Q235" i="3"/>
  <c r="R235" i="3"/>
  <c r="S235" i="3"/>
  <c r="AN197" i="3"/>
  <c r="AN196" i="3"/>
  <c r="T349" i="3"/>
  <c r="T358" i="3"/>
  <c r="AM189" i="3"/>
  <c r="AL200" i="3"/>
  <c r="AL202" i="3" s="1"/>
  <c r="T469" i="3"/>
  <c r="U15" i="3"/>
  <c r="P263" i="3"/>
  <c r="P264" i="3" s="1"/>
  <c r="P92" i="3" s="1"/>
  <c r="P94" i="3" s="1"/>
  <c r="P294" i="3"/>
  <c r="P471" i="3"/>
  <c r="P482" i="3" s="1"/>
  <c r="R349" i="3"/>
  <c r="U197" i="3"/>
  <c r="U198" i="3"/>
  <c r="S327" i="3"/>
  <c r="S335" i="3" s="1"/>
  <c r="S358" i="3" s="1"/>
  <c r="S273" i="3"/>
  <c r="S295" i="3" s="1"/>
  <c r="S337" i="3" s="1"/>
  <c r="AM197" i="3" l="1"/>
  <c r="AM196" i="3"/>
  <c r="H461" i="3"/>
  <c r="U469" i="3"/>
  <c r="P267" i="3"/>
  <c r="U327" i="3"/>
  <c r="U335" i="3" s="1"/>
  <c r="P336" i="3"/>
  <c r="P338" i="3" s="1"/>
  <c r="P342" i="3" s="1"/>
  <c r="P328" i="3" s="1"/>
  <c r="P350" i="3" s="1"/>
  <c r="P343" i="3" s="1"/>
  <c r="P344" i="3" s="1"/>
  <c r="P356" i="3" s="1"/>
  <c r="Q260" i="3"/>
  <c r="S349" i="3"/>
  <c r="S274" i="3"/>
  <c r="T271" i="3" s="1"/>
  <c r="T273" i="3" s="1"/>
  <c r="U349" i="3" l="1"/>
  <c r="U358" i="3"/>
  <c r="AN200" i="3"/>
  <c r="AM200" i="3"/>
  <c r="AN201" i="3"/>
  <c r="AM201" i="3"/>
  <c r="P351" i="3"/>
  <c r="Q348" i="3" s="1"/>
  <c r="P470" i="3"/>
  <c r="P461" i="3"/>
  <c r="P357" i="3"/>
  <c r="T295" i="3"/>
  <c r="T337" i="3" s="1"/>
  <c r="AN202" i="3" l="1"/>
  <c r="AM202" i="3"/>
  <c r="T274" i="3"/>
  <c r="U295" i="3" l="1"/>
  <c r="U337" i="3" s="1"/>
  <c r="H152" i="2" l="1"/>
  <c r="I152" i="2"/>
  <c r="J152" i="2"/>
  <c r="K152" i="2"/>
  <c r="L152" i="2"/>
  <c r="M152" i="2"/>
  <c r="N152" i="2"/>
  <c r="H153" i="2"/>
  <c r="I153" i="2"/>
  <c r="J153" i="2"/>
  <c r="K153" i="2"/>
  <c r="L153" i="2"/>
  <c r="M153" i="2"/>
  <c r="N153" i="2"/>
  <c r="G153" i="2"/>
  <c r="G152" i="2"/>
  <c r="H149" i="2"/>
  <c r="I149" i="2"/>
  <c r="J149" i="2"/>
  <c r="K149" i="2"/>
  <c r="L149" i="2"/>
  <c r="M149" i="2"/>
  <c r="N149" i="2"/>
  <c r="H150" i="2"/>
  <c r="I150" i="2"/>
  <c r="J150" i="2"/>
  <c r="K150" i="2"/>
  <c r="L150" i="2"/>
  <c r="M150" i="2"/>
  <c r="N150" i="2"/>
  <c r="G150" i="2"/>
  <c r="G149" i="2"/>
  <c r="H146" i="2"/>
  <c r="I146" i="2"/>
  <c r="J146" i="2"/>
  <c r="K146" i="2"/>
  <c r="L146" i="2"/>
  <c r="M146" i="2"/>
  <c r="N146" i="2"/>
  <c r="H147" i="2"/>
  <c r="I147" i="2"/>
  <c r="J147" i="2"/>
  <c r="K147" i="2"/>
  <c r="L147" i="2"/>
  <c r="M147" i="2"/>
  <c r="N147" i="2"/>
  <c r="G147" i="2"/>
  <c r="G146" i="2"/>
  <c r="H143" i="2"/>
  <c r="I143" i="2"/>
  <c r="J143" i="2"/>
  <c r="K143" i="2"/>
  <c r="L143" i="2"/>
  <c r="M143" i="2"/>
  <c r="N143" i="2"/>
  <c r="H144" i="2"/>
  <c r="I144" i="2"/>
  <c r="J144" i="2"/>
  <c r="K144" i="2"/>
  <c r="L144" i="2"/>
  <c r="M144" i="2"/>
  <c r="N144" i="2"/>
  <c r="G144" i="2"/>
  <c r="G143" i="2"/>
  <c r="G131" i="2"/>
  <c r="H131" i="2"/>
  <c r="I131" i="2"/>
  <c r="J131" i="2"/>
  <c r="K131" i="2"/>
  <c r="L131" i="2"/>
  <c r="M131" i="2"/>
  <c r="N131" i="2"/>
  <c r="G132" i="2"/>
  <c r="G135" i="2" s="1"/>
  <c r="H132" i="2"/>
  <c r="H135" i="2" s="1"/>
  <c r="I132" i="2"/>
  <c r="I135" i="2" s="1"/>
  <c r="J132" i="2"/>
  <c r="J135" i="2" s="1"/>
  <c r="K132" i="2"/>
  <c r="K135" i="2" s="1"/>
  <c r="L132" i="2"/>
  <c r="L135" i="2" s="1"/>
  <c r="M132" i="2"/>
  <c r="M135" i="2" s="1"/>
  <c r="N132" i="2"/>
  <c r="X131" i="2" s="1"/>
  <c r="F132" i="2"/>
  <c r="F135" i="2" s="1"/>
  <c r="F131" i="2"/>
  <c r="G113" i="2"/>
  <c r="H113" i="2"/>
  <c r="I113" i="2"/>
  <c r="J113" i="2"/>
  <c r="K113" i="2"/>
  <c r="L113" i="2"/>
  <c r="M113" i="2"/>
  <c r="N113" i="2"/>
  <c r="F113" i="2"/>
  <c r="G97" i="2"/>
  <c r="G99" i="2" s="1"/>
  <c r="H97" i="2"/>
  <c r="H99" i="2" s="1"/>
  <c r="I97" i="2"/>
  <c r="I99" i="2" s="1"/>
  <c r="J97" i="2"/>
  <c r="J99" i="2" s="1"/>
  <c r="K97" i="2"/>
  <c r="K99" i="2" s="1"/>
  <c r="L97" i="2"/>
  <c r="L99" i="2" s="1"/>
  <c r="M97" i="2"/>
  <c r="M99" i="2" s="1"/>
  <c r="N97" i="2"/>
  <c r="N99" i="2" s="1"/>
  <c r="F97" i="2"/>
  <c r="F99" i="2" s="1"/>
  <c r="G90" i="2"/>
  <c r="G94" i="2" s="1"/>
  <c r="G96" i="2" s="1"/>
  <c r="G100" i="2" s="1"/>
  <c r="H90" i="2"/>
  <c r="H94" i="2" s="1"/>
  <c r="H96" i="2" s="1"/>
  <c r="H100" i="2" s="1"/>
  <c r="I90" i="2"/>
  <c r="I94" i="2" s="1"/>
  <c r="I96" i="2" s="1"/>
  <c r="I100" i="2" s="1"/>
  <c r="J90" i="2"/>
  <c r="J94" i="2" s="1"/>
  <c r="J96" i="2" s="1"/>
  <c r="K90" i="2"/>
  <c r="K94" i="2" s="1"/>
  <c r="K96" i="2" s="1"/>
  <c r="L90" i="2"/>
  <c r="L94" i="2" s="1"/>
  <c r="L96" i="2" s="1"/>
  <c r="L100" i="2" s="1"/>
  <c r="M90" i="2"/>
  <c r="M94" i="2" s="1"/>
  <c r="M96" i="2" s="1"/>
  <c r="M100" i="2" s="1"/>
  <c r="N90" i="2"/>
  <c r="N94" i="2" s="1"/>
  <c r="G91" i="2"/>
  <c r="G93" i="2" s="1"/>
  <c r="H91" i="2"/>
  <c r="H93" i="2" s="1"/>
  <c r="I91" i="2"/>
  <c r="I93" i="2" s="1"/>
  <c r="J91" i="2"/>
  <c r="J93" i="2" s="1"/>
  <c r="K91" i="2"/>
  <c r="K93" i="2" s="1"/>
  <c r="L91" i="2"/>
  <c r="M91" i="2"/>
  <c r="N91" i="2"/>
  <c r="F91" i="2"/>
  <c r="F93" i="2" s="1"/>
  <c r="F90" i="2"/>
  <c r="F94" i="2" s="1"/>
  <c r="F96" i="2" s="1"/>
  <c r="F100" i="2" s="1"/>
  <c r="G85" i="2"/>
  <c r="G87" i="2" s="1"/>
  <c r="H85" i="2"/>
  <c r="H87" i="2" s="1"/>
  <c r="I85" i="2"/>
  <c r="I87" i="2" s="1"/>
  <c r="J85" i="2"/>
  <c r="J87" i="2" s="1"/>
  <c r="K85" i="2"/>
  <c r="K87" i="2" s="1"/>
  <c r="L85" i="2"/>
  <c r="L87" i="2" s="1"/>
  <c r="M85" i="2"/>
  <c r="M87" i="2" s="1"/>
  <c r="N85" i="2"/>
  <c r="N87" i="2" s="1"/>
  <c r="F85" i="2"/>
  <c r="F87" i="2" s="1"/>
  <c r="G81" i="2"/>
  <c r="H81" i="2"/>
  <c r="I81" i="2"/>
  <c r="J81" i="2"/>
  <c r="K81" i="2"/>
  <c r="L81" i="2"/>
  <c r="M81" i="2"/>
  <c r="N81" i="2"/>
  <c r="F81" i="2"/>
  <c r="G79" i="2"/>
  <c r="H79" i="2"/>
  <c r="I79" i="2"/>
  <c r="J79" i="2"/>
  <c r="K79" i="2"/>
  <c r="L79" i="2"/>
  <c r="M79" i="2"/>
  <c r="N79" i="2"/>
  <c r="F79" i="2"/>
  <c r="G76" i="2"/>
  <c r="H76" i="2"/>
  <c r="I76" i="2"/>
  <c r="J76" i="2"/>
  <c r="K76" i="2"/>
  <c r="L76" i="2"/>
  <c r="M76" i="2"/>
  <c r="N76" i="2"/>
  <c r="F76" i="2"/>
  <c r="G73" i="2"/>
  <c r="G110" i="2" s="1"/>
  <c r="G176" i="2" s="1"/>
  <c r="H73" i="2"/>
  <c r="H110" i="2" s="1"/>
  <c r="H176" i="2" s="1"/>
  <c r="I73" i="2"/>
  <c r="I110" i="2" s="1"/>
  <c r="I176" i="2" s="1"/>
  <c r="J73" i="2"/>
  <c r="J174" i="2" s="1"/>
  <c r="K73" i="2"/>
  <c r="K110" i="2" s="1"/>
  <c r="K176" i="2" s="1"/>
  <c r="L73" i="2"/>
  <c r="L110" i="2" s="1"/>
  <c r="L176" i="2" s="1"/>
  <c r="M73" i="2"/>
  <c r="M110" i="2" s="1"/>
  <c r="M176" i="2" s="1"/>
  <c r="N73" i="2"/>
  <c r="F73" i="2"/>
  <c r="F110" i="2" s="1"/>
  <c r="G46" i="2"/>
  <c r="H46" i="2"/>
  <c r="I46" i="2"/>
  <c r="J46" i="2"/>
  <c r="K46" i="2"/>
  <c r="L46" i="2"/>
  <c r="M46" i="2"/>
  <c r="N46" i="2"/>
  <c r="F46" i="2"/>
  <c r="G43" i="2"/>
  <c r="G49" i="2" s="1"/>
  <c r="H43" i="2"/>
  <c r="H49" i="2" s="1"/>
  <c r="I43" i="2"/>
  <c r="I49" i="2" s="1"/>
  <c r="J43" i="2"/>
  <c r="J49" i="2" s="1"/>
  <c r="K43" i="2"/>
  <c r="K49" i="2" s="1"/>
  <c r="L43" i="2"/>
  <c r="L49" i="2" s="1"/>
  <c r="M43" i="2"/>
  <c r="M49" i="2" s="1"/>
  <c r="N43" i="2"/>
  <c r="N49" i="2" s="1"/>
  <c r="F43" i="2"/>
  <c r="F49" i="2" s="1"/>
  <c r="G40" i="2"/>
  <c r="G50" i="2" s="1"/>
  <c r="G53" i="2" s="1"/>
  <c r="H40" i="2"/>
  <c r="H50" i="2" s="1"/>
  <c r="H53" i="2" s="1"/>
  <c r="I40" i="2"/>
  <c r="I50" i="2" s="1"/>
  <c r="I53" i="2" s="1"/>
  <c r="J40" i="2"/>
  <c r="J50" i="2" s="1"/>
  <c r="J53" i="2" s="1"/>
  <c r="K40" i="2"/>
  <c r="K50" i="2" s="1"/>
  <c r="K53" i="2" s="1"/>
  <c r="L40" i="2"/>
  <c r="L50" i="2" s="1"/>
  <c r="M40" i="2"/>
  <c r="M50" i="2" s="1"/>
  <c r="N40" i="2"/>
  <c r="N50" i="2" s="1"/>
  <c r="F40" i="2"/>
  <c r="F50" i="2" s="1"/>
  <c r="F53" i="2" s="1"/>
  <c r="G34" i="2"/>
  <c r="G56" i="2" s="1"/>
  <c r="H34" i="2"/>
  <c r="H56" i="2" s="1"/>
  <c r="R55" i="2" s="1"/>
  <c r="I34" i="2"/>
  <c r="I56" i="2" s="1"/>
  <c r="S55" i="2" s="1"/>
  <c r="J34" i="2"/>
  <c r="J56" i="2" s="1"/>
  <c r="T55" i="2" s="1"/>
  <c r="K34" i="2"/>
  <c r="K56" i="2" s="1"/>
  <c r="L34" i="2"/>
  <c r="L56" i="2" s="1"/>
  <c r="V55" i="2" s="1"/>
  <c r="M34" i="2"/>
  <c r="M56" i="2" s="1"/>
  <c r="W55" i="2" s="1"/>
  <c r="N34" i="2"/>
  <c r="N56" i="2" s="1"/>
  <c r="X55" i="2" s="1"/>
  <c r="F34" i="2"/>
  <c r="F56" i="2" s="1"/>
  <c r="P55" i="2" s="1"/>
  <c r="G31" i="2"/>
  <c r="H31" i="2"/>
  <c r="I31" i="2"/>
  <c r="J31" i="2"/>
  <c r="K31" i="2"/>
  <c r="L31" i="2"/>
  <c r="M31" i="2"/>
  <c r="N31" i="2"/>
  <c r="F31" i="2"/>
  <c r="N7" i="2"/>
  <c r="N10" i="2" s="1"/>
  <c r="N13" i="2" s="1"/>
  <c r="N8" i="2"/>
  <c r="N111" i="2" s="1"/>
  <c r="N11" i="2"/>
  <c r="N19" i="2"/>
  <c r="N20" i="2"/>
  <c r="N23" i="2" s="1"/>
  <c r="G20" i="2"/>
  <c r="H20" i="2"/>
  <c r="H23" i="2" s="1"/>
  <c r="I20" i="2"/>
  <c r="J20" i="2"/>
  <c r="K20" i="2"/>
  <c r="L20" i="2"/>
  <c r="L23" i="2" s="1"/>
  <c r="M20" i="2"/>
  <c r="F20" i="2"/>
  <c r="G19" i="2"/>
  <c r="H19" i="2"/>
  <c r="I19" i="2"/>
  <c r="J19" i="2"/>
  <c r="K19" i="2"/>
  <c r="L19" i="2"/>
  <c r="M19" i="2"/>
  <c r="F19" i="2"/>
  <c r="K152" i="1"/>
  <c r="J152" i="1"/>
  <c r="I152" i="1"/>
  <c r="H152" i="1"/>
  <c r="G152" i="1"/>
  <c r="F152" i="1"/>
  <c r="E152" i="1"/>
  <c r="D152" i="1"/>
  <c r="C152" i="1"/>
  <c r="D149" i="1"/>
  <c r="E149" i="1"/>
  <c r="F149" i="1"/>
  <c r="G149" i="1"/>
  <c r="H149" i="1"/>
  <c r="I149" i="1"/>
  <c r="J149" i="1"/>
  <c r="K149" i="1"/>
  <c r="D151" i="1"/>
  <c r="E151" i="1"/>
  <c r="F151" i="1"/>
  <c r="G151" i="1"/>
  <c r="H151" i="1"/>
  <c r="I151" i="1"/>
  <c r="J151" i="1"/>
  <c r="K151" i="1"/>
  <c r="C151" i="1"/>
  <c r="C149" i="1"/>
  <c r="D145" i="1"/>
  <c r="E145" i="1"/>
  <c r="F145" i="1"/>
  <c r="G145" i="1"/>
  <c r="H145" i="1"/>
  <c r="I145" i="1"/>
  <c r="J145" i="1"/>
  <c r="K145" i="1"/>
  <c r="C145" i="1"/>
  <c r="D143" i="1"/>
  <c r="D150" i="1" s="1"/>
  <c r="G25" i="2" s="1"/>
  <c r="E143" i="1"/>
  <c r="E150" i="1" s="1"/>
  <c r="H25" i="2" s="1"/>
  <c r="F143" i="1"/>
  <c r="F150" i="1" s="1"/>
  <c r="I25" i="2" s="1"/>
  <c r="G143" i="1"/>
  <c r="G150" i="1" s="1"/>
  <c r="J25" i="2" s="1"/>
  <c r="H143" i="1"/>
  <c r="H150" i="1" s="1"/>
  <c r="K25" i="2" s="1"/>
  <c r="I143" i="1"/>
  <c r="I150" i="1" s="1"/>
  <c r="L25" i="2" s="1"/>
  <c r="J143" i="1"/>
  <c r="J150" i="1" s="1"/>
  <c r="M25" i="2" s="1"/>
  <c r="K143" i="1"/>
  <c r="K150" i="1" s="1"/>
  <c r="N25" i="2" s="1"/>
  <c r="C143" i="1"/>
  <c r="C150" i="1" s="1"/>
  <c r="F25" i="2" s="1"/>
  <c r="D142" i="1"/>
  <c r="E142" i="1"/>
  <c r="F142" i="1"/>
  <c r="I116" i="2" s="1"/>
  <c r="I119" i="2" s="1"/>
  <c r="G142" i="1"/>
  <c r="H142" i="1"/>
  <c r="I142" i="1"/>
  <c r="J142" i="1"/>
  <c r="N116" i="2"/>
  <c r="N119" i="2" s="1"/>
  <c r="C142" i="1"/>
  <c r="D136" i="1"/>
  <c r="E136" i="1"/>
  <c r="F136" i="1"/>
  <c r="G136" i="1"/>
  <c r="H136" i="1"/>
  <c r="I136" i="1"/>
  <c r="J136" i="1"/>
  <c r="K136" i="1"/>
  <c r="C136" i="1"/>
  <c r="D135" i="1"/>
  <c r="E135" i="1"/>
  <c r="F135" i="1"/>
  <c r="G135" i="1"/>
  <c r="H135" i="1"/>
  <c r="I135" i="1"/>
  <c r="J135" i="1"/>
  <c r="K135" i="1"/>
  <c r="C135" i="1"/>
  <c r="G11" i="2"/>
  <c r="H11" i="2"/>
  <c r="I11" i="2"/>
  <c r="J11" i="2"/>
  <c r="K11" i="2"/>
  <c r="L11" i="2"/>
  <c r="M11" i="2"/>
  <c r="F11" i="2"/>
  <c r="G7" i="2"/>
  <c r="G10" i="2" s="1"/>
  <c r="G13" i="2" s="1"/>
  <c r="H7" i="2"/>
  <c r="H10" i="2" s="1"/>
  <c r="H13" i="2" s="1"/>
  <c r="I7" i="2"/>
  <c r="I10" i="2" s="1"/>
  <c r="I13" i="2" s="1"/>
  <c r="J7" i="2"/>
  <c r="J10" i="2" s="1"/>
  <c r="K7" i="2"/>
  <c r="K10" i="2" s="1"/>
  <c r="K13" i="2" s="1"/>
  <c r="L7" i="2"/>
  <c r="L10" i="2" s="1"/>
  <c r="L13" i="2" s="1"/>
  <c r="M7" i="2"/>
  <c r="M10" i="2" s="1"/>
  <c r="M13" i="2" s="1"/>
  <c r="F7" i="2"/>
  <c r="F10" i="2" s="1"/>
  <c r="G8" i="2"/>
  <c r="G111" i="2" s="1"/>
  <c r="H8" i="2"/>
  <c r="H111" i="2" s="1"/>
  <c r="I8" i="2"/>
  <c r="I111" i="2" s="1"/>
  <c r="J8" i="2"/>
  <c r="J111" i="2" s="1"/>
  <c r="K8" i="2"/>
  <c r="K111" i="2" s="1"/>
  <c r="L8" i="2"/>
  <c r="L111" i="2" s="1"/>
  <c r="M8" i="2"/>
  <c r="M111" i="2" s="1"/>
  <c r="F8" i="2"/>
  <c r="F111" i="2" s="1"/>
  <c r="F4" i="2"/>
  <c r="F67" i="2" s="1"/>
  <c r="F107" i="2" s="1"/>
  <c r="F128" i="2" s="1"/>
  <c r="O197" i="2"/>
  <c r="D194" i="2"/>
  <c r="D188" i="2"/>
  <c r="D162" i="2"/>
  <c r="D135" i="2"/>
  <c r="D111" i="2"/>
  <c r="D114" i="2" s="1"/>
  <c r="D117" i="2" s="1"/>
  <c r="D90" i="2"/>
  <c r="D94" i="2" s="1"/>
  <c r="D73" i="2"/>
  <c r="D174" i="2" s="1"/>
  <c r="D50" i="2"/>
  <c r="D53" i="2" s="1"/>
  <c r="D46" i="2"/>
  <c r="D170" i="2" s="1"/>
  <c r="D41" i="2"/>
  <c r="D35" i="2" s="1"/>
  <c r="X90" i="2" l="1"/>
  <c r="V149" i="2"/>
  <c r="L158" i="2" s="1"/>
  <c r="L161" i="2" s="1"/>
  <c r="V152" i="2"/>
  <c r="U19" i="2"/>
  <c r="L120" i="2"/>
  <c r="L123" i="2" s="1"/>
  <c r="I157" i="1"/>
  <c r="I162" i="1" s="1"/>
  <c r="L28" i="2" s="1"/>
  <c r="L61" i="2" s="1"/>
  <c r="K120" i="2"/>
  <c r="K123" i="2" s="1"/>
  <c r="H157" i="1"/>
  <c r="H162" i="1" s="1"/>
  <c r="K28" i="2" s="1"/>
  <c r="K61" i="2" s="1"/>
  <c r="I120" i="2"/>
  <c r="I123" i="2" s="1"/>
  <c r="F157" i="1"/>
  <c r="F162" i="1" s="1"/>
  <c r="I28" i="2" s="1"/>
  <c r="I61" i="2" s="1"/>
  <c r="F120" i="2"/>
  <c r="F123" i="2" s="1"/>
  <c r="C157" i="1"/>
  <c r="C162" i="1" s="1"/>
  <c r="F28" i="2" s="1"/>
  <c r="F61" i="2" s="1"/>
  <c r="G120" i="2"/>
  <c r="G123" i="2" s="1"/>
  <c r="D157" i="1"/>
  <c r="D162" i="1" s="1"/>
  <c r="G28" i="2" s="1"/>
  <c r="G61" i="2" s="1"/>
  <c r="J120" i="2"/>
  <c r="J123" i="2" s="1"/>
  <c r="G157" i="1"/>
  <c r="G162" i="1" s="1"/>
  <c r="J28" i="2" s="1"/>
  <c r="J61" i="2" s="1"/>
  <c r="N120" i="2"/>
  <c r="N123" i="2" s="1"/>
  <c r="K157" i="1"/>
  <c r="K162" i="1" s="1"/>
  <c r="N28" i="2" s="1"/>
  <c r="N61" i="2" s="1"/>
  <c r="H120" i="2"/>
  <c r="H123" i="2" s="1"/>
  <c r="E157" i="1"/>
  <c r="E162" i="1" s="1"/>
  <c r="H28" i="2" s="1"/>
  <c r="H61" i="2" s="1"/>
  <c r="M120" i="2"/>
  <c r="M123" i="2" s="1"/>
  <c r="J157" i="1"/>
  <c r="J162" i="1" s="1"/>
  <c r="M28" i="2" s="1"/>
  <c r="M61" i="2" s="1"/>
  <c r="N37" i="2"/>
  <c r="N122" i="2"/>
  <c r="I37" i="2"/>
  <c r="I122" i="2"/>
  <c r="M170" i="2"/>
  <c r="M62" i="2"/>
  <c r="L170" i="2"/>
  <c r="L62" i="2"/>
  <c r="K170" i="2"/>
  <c r="K62" i="2"/>
  <c r="J170" i="2"/>
  <c r="J62" i="2"/>
  <c r="H170" i="2"/>
  <c r="H62" i="2"/>
  <c r="F52" i="2"/>
  <c r="F188" i="2" s="1"/>
  <c r="F62" i="2"/>
  <c r="G170" i="2"/>
  <c r="G62" i="2"/>
  <c r="I52" i="2"/>
  <c r="I188" i="2" s="1"/>
  <c r="I62" i="2"/>
  <c r="S61" i="2" s="1"/>
  <c r="N170" i="2"/>
  <c r="N62" i="2"/>
  <c r="S19" i="2"/>
  <c r="J23" i="2"/>
  <c r="I23" i="2"/>
  <c r="G23" i="2"/>
  <c r="R22" i="2"/>
  <c r="H26" i="2"/>
  <c r="F23" i="2"/>
  <c r="N26" i="2"/>
  <c r="X22" i="2"/>
  <c r="M23" i="2"/>
  <c r="L26" i="2"/>
  <c r="V22" i="2"/>
  <c r="K23" i="2"/>
  <c r="D195" i="2"/>
  <c r="D29" i="2"/>
  <c r="D20" i="2" s="1"/>
  <c r="D23" i="2" s="1"/>
  <c r="D26" i="2" s="1"/>
  <c r="S143" i="2"/>
  <c r="I156" i="2" s="1"/>
  <c r="I162" i="2" s="1"/>
  <c r="E153" i="1"/>
  <c r="H14" i="2" s="1"/>
  <c r="R13" i="2" s="1"/>
  <c r="C137" i="1"/>
  <c r="F16" i="2" s="1"/>
  <c r="D137" i="1"/>
  <c r="G16" i="2" s="1"/>
  <c r="D153" i="1"/>
  <c r="G14" i="2" s="1"/>
  <c r="Q13" i="2" s="1"/>
  <c r="J137" i="1"/>
  <c r="M16" i="2" s="1"/>
  <c r="E137" i="1"/>
  <c r="H16" i="2" s="1"/>
  <c r="Q149" i="2"/>
  <c r="G158" i="2" s="1"/>
  <c r="G161" i="2" s="1"/>
  <c r="G137" i="1"/>
  <c r="J16" i="2" s="1"/>
  <c r="K137" i="1"/>
  <c r="N16" i="2" s="1"/>
  <c r="I137" i="1"/>
  <c r="L16" i="2" s="1"/>
  <c r="F137" i="1"/>
  <c r="I16" i="2" s="1"/>
  <c r="V10" i="2"/>
  <c r="S149" i="2"/>
  <c r="I158" i="2" s="1"/>
  <c r="I161" i="2" s="1"/>
  <c r="R143" i="2"/>
  <c r="H156" i="2" s="1"/>
  <c r="H162" i="2" s="1"/>
  <c r="S152" i="2"/>
  <c r="U152" i="2"/>
  <c r="R152" i="2"/>
  <c r="U143" i="2"/>
  <c r="L162" i="3" s="1"/>
  <c r="U149" i="2"/>
  <c r="K158" i="2" s="1"/>
  <c r="K161" i="2" s="1"/>
  <c r="T149" i="2"/>
  <c r="J158" i="2" s="1"/>
  <c r="J161" i="2" s="1"/>
  <c r="T152" i="2"/>
  <c r="M134" i="2"/>
  <c r="W134" i="2" s="1"/>
  <c r="R19" i="2"/>
  <c r="V96" i="2"/>
  <c r="V143" i="2"/>
  <c r="M162" i="3" s="1"/>
  <c r="I170" i="2"/>
  <c r="M52" i="2"/>
  <c r="M188" i="2" s="1"/>
  <c r="Q143" i="2"/>
  <c r="G156" i="2" s="1"/>
  <c r="G162" i="2" s="1"/>
  <c r="I174" i="2"/>
  <c r="W149" i="2"/>
  <c r="M158" i="2" s="1"/>
  <c r="M161" i="2" s="1"/>
  <c r="J110" i="2"/>
  <c r="J176" i="2" s="1"/>
  <c r="K134" i="2"/>
  <c r="U134" i="2" s="1"/>
  <c r="J134" i="2"/>
  <c r="T134" i="2" s="1"/>
  <c r="T143" i="2"/>
  <c r="K162" i="3" s="1"/>
  <c r="I134" i="2"/>
  <c r="S134" i="2" s="1"/>
  <c r="X10" i="2"/>
  <c r="H134" i="2"/>
  <c r="R134" i="2" s="1"/>
  <c r="K100" i="2"/>
  <c r="U99" i="2" s="1"/>
  <c r="U96" i="2"/>
  <c r="F13" i="2"/>
  <c r="P10" i="2"/>
  <c r="T10" i="2"/>
  <c r="J13" i="2"/>
  <c r="Q152" i="2"/>
  <c r="X146" i="2"/>
  <c r="N155" i="2" s="1"/>
  <c r="N159" i="2" s="1"/>
  <c r="L134" i="2"/>
  <c r="V134" i="2" s="1"/>
  <c r="G153" i="1"/>
  <c r="J14" i="2" s="1"/>
  <c r="G134" i="2"/>
  <c r="Q134" i="2" s="1"/>
  <c r="J153" i="1"/>
  <c r="M14" i="2" s="1"/>
  <c r="W13" i="2" s="1"/>
  <c r="X149" i="2"/>
  <c r="N158" i="2" s="1"/>
  <c r="N161" i="2" s="1"/>
  <c r="I153" i="1"/>
  <c r="L14" i="2" s="1"/>
  <c r="V13" i="2" s="1"/>
  <c r="N93" i="2"/>
  <c r="X93" i="2" s="1"/>
  <c r="F134" i="2"/>
  <c r="P134" i="2" s="1"/>
  <c r="X7" i="2"/>
  <c r="K153" i="1"/>
  <c r="N14" i="2" s="1"/>
  <c r="X13" i="2" s="1"/>
  <c r="C153" i="1"/>
  <c r="F14" i="2" s="1"/>
  <c r="X143" i="2"/>
  <c r="O162" i="3" s="1"/>
  <c r="X152" i="2"/>
  <c r="W143" i="2"/>
  <c r="N162" i="3" s="1"/>
  <c r="H137" i="1"/>
  <c r="K16" i="2" s="1"/>
  <c r="N135" i="2"/>
  <c r="R10" i="2"/>
  <c r="W10" i="2"/>
  <c r="H114" i="2"/>
  <c r="H117" i="2" s="1"/>
  <c r="H177" i="2"/>
  <c r="N114" i="2"/>
  <c r="N177" i="2"/>
  <c r="G114" i="2"/>
  <c r="G117" i="2" s="1"/>
  <c r="G177" i="2"/>
  <c r="M116" i="2"/>
  <c r="M119" i="2" s="1"/>
  <c r="J144" i="1"/>
  <c r="J146" i="1" s="1"/>
  <c r="M17" i="2" s="1"/>
  <c r="J116" i="2"/>
  <c r="J119" i="2" s="1"/>
  <c r="G144" i="1"/>
  <c r="G146" i="1" s="1"/>
  <c r="J17" i="2" s="1"/>
  <c r="I144" i="1"/>
  <c r="I146" i="1" s="1"/>
  <c r="L17" i="2" s="1"/>
  <c r="L116" i="2"/>
  <c r="L119" i="2" s="1"/>
  <c r="P107" i="2"/>
  <c r="K177" i="2"/>
  <c r="K114" i="2"/>
  <c r="K117" i="2" s="1"/>
  <c r="H153" i="1"/>
  <c r="K14" i="2" s="1"/>
  <c r="U13" i="2" s="1"/>
  <c r="N53" i="2"/>
  <c r="X49" i="2"/>
  <c r="J100" i="2"/>
  <c r="T99" i="2" s="1"/>
  <c r="T96" i="2"/>
  <c r="M114" i="2"/>
  <c r="M117" i="2" s="1"/>
  <c r="M177" i="2"/>
  <c r="K116" i="2"/>
  <c r="K119" i="2" s="1"/>
  <c r="H144" i="1"/>
  <c r="H146" i="1" s="1"/>
  <c r="K17" i="2" s="1"/>
  <c r="P4" i="2"/>
  <c r="J177" i="2"/>
  <c r="J114" i="2"/>
  <c r="J117" i="2" s="1"/>
  <c r="H116" i="2"/>
  <c r="H119" i="2" s="1"/>
  <c r="E144" i="1"/>
  <c r="E146" i="1" s="1"/>
  <c r="H17" i="2" s="1"/>
  <c r="W49" i="2"/>
  <c r="M53" i="2"/>
  <c r="L114" i="2"/>
  <c r="L117" i="2" s="1"/>
  <c r="L177" i="2"/>
  <c r="P67" i="2"/>
  <c r="I114" i="2"/>
  <c r="I117" i="2" s="1"/>
  <c r="I177" i="2"/>
  <c r="I201" i="2" s="1"/>
  <c r="F116" i="2"/>
  <c r="F119" i="2" s="1"/>
  <c r="C144" i="1"/>
  <c r="C146" i="1" s="1"/>
  <c r="F17" i="2" s="1"/>
  <c r="G116" i="2"/>
  <c r="G119" i="2" s="1"/>
  <c r="D144" i="1"/>
  <c r="D146" i="1" s="1"/>
  <c r="G17" i="2" s="1"/>
  <c r="H52" i="2"/>
  <c r="H188" i="2" s="1"/>
  <c r="M93" i="2"/>
  <c r="W93" i="2" s="1"/>
  <c r="N96" i="2"/>
  <c r="R149" i="2"/>
  <c r="H158" i="2" s="1"/>
  <c r="H161" i="2" s="1"/>
  <c r="H174" i="2"/>
  <c r="F144" i="1"/>
  <c r="F146" i="1" s="1"/>
  <c r="I17" i="2" s="1"/>
  <c r="G52" i="2"/>
  <c r="G188" i="2" s="1"/>
  <c r="L93" i="2"/>
  <c r="V93" i="2" s="1"/>
  <c r="N134" i="2"/>
  <c r="G174" i="2"/>
  <c r="N52" i="2"/>
  <c r="N188" i="2" s="1"/>
  <c r="W152" i="2"/>
  <c r="N174" i="2"/>
  <c r="V49" i="2"/>
  <c r="X19" i="2"/>
  <c r="N110" i="2"/>
  <c r="N176" i="2" s="1"/>
  <c r="M174" i="2"/>
  <c r="K144" i="1"/>
  <c r="K146" i="1" s="1"/>
  <c r="N17" i="2" s="1"/>
  <c r="F153" i="1"/>
  <c r="I14" i="2" s="1"/>
  <c r="S13" i="2" s="1"/>
  <c r="L52" i="2"/>
  <c r="L188" i="2" s="1"/>
  <c r="L174" i="2"/>
  <c r="K52" i="2"/>
  <c r="K188" i="2" s="1"/>
  <c r="L53" i="2"/>
  <c r="K174" i="2"/>
  <c r="N194" i="2"/>
  <c r="J52" i="2"/>
  <c r="J188" i="2" s="1"/>
  <c r="F140" i="2"/>
  <c r="P128" i="2"/>
  <c r="W99" i="2"/>
  <c r="U55" i="2"/>
  <c r="S96" i="2"/>
  <c r="Q19" i="2"/>
  <c r="S10" i="2"/>
  <c r="S99" i="2"/>
  <c r="P99" i="2"/>
  <c r="R96" i="2"/>
  <c r="R99" i="2"/>
  <c r="Q99" i="2"/>
  <c r="W96" i="2"/>
  <c r="U93" i="2"/>
  <c r="Q146" i="2"/>
  <c r="G155" i="2" s="1"/>
  <c r="G159" i="2" s="1"/>
  <c r="P93" i="2"/>
  <c r="W19" i="2"/>
  <c r="P96" i="2"/>
  <c r="Q96" i="2"/>
  <c r="Q93" i="2"/>
  <c r="T146" i="2"/>
  <c r="W90" i="2"/>
  <c r="R93" i="2"/>
  <c r="R49" i="2"/>
  <c r="V90" i="2"/>
  <c r="W146" i="2"/>
  <c r="S93" i="2"/>
  <c r="Q55" i="2"/>
  <c r="V146" i="2"/>
  <c r="T19" i="2"/>
  <c r="U146" i="2"/>
  <c r="V19" i="2"/>
  <c r="V99" i="2"/>
  <c r="M194" i="2"/>
  <c r="P19" i="2"/>
  <c r="U90" i="2"/>
  <c r="T90" i="2"/>
  <c r="S146" i="2"/>
  <c r="R146" i="2"/>
  <c r="P49" i="2"/>
  <c r="Q49" i="2"/>
  <c r="U49" i="2"/>
  <c r="D189" i="2"/>
  <c r="F170" i="2"/>
  <c r="U10" i="2"/>
  <c r="V7" i="2"/>
  <c r="G194" i="2"/>
  <c r="D38" i="2"/>
  <c r="T49" i="2"/>
  <c r="K194" i="2"/>
  <c r="W7" i="2"/>
  <c r="P7" i="2"/>
  <c r="F114" i="2"/>
  <c r="F177" i="2"/>
  <c r="F176" i="2"/>
  <c r="I194" i="2"/>
  <c r="D198" i="2"/>
  <c r="D200" i="2" s="1"/>
  <c r="D176" i="2"/>
  <c r="P131" i="2"/>
  <c r="Q7" i="2"/>
  <c r="J194" i="2"/>
  <c r="R131" i="2"/>
  <c r="H194" i="2"/>
  <c r="R7" i="2"/>
  <c r="U110" i="2"/>
  <c r="Q10" i="2"/>
  <c r="S7" i="2"/>
  <c r="L194" i="2"/>
  <c r="T93" i="2"/>
  <c r="U7" i="2"/>
  <c r="F194" i="2"/>
  <c r="T7" i="2"/>
  <c r="Q131" i="2"/>
  <c r="S131" i="2"/>
  <c r="D110" i="2"/>
  <c r="T131" i="2"/>
  <c r="R90" i="2"/>
  <c r="U131" i="2"/>
  <c r="V131" i="2"/>
  <c r="W131" i="2"/>
  <c r="J162" i="3" l="1"/>
  <c r="U61" i="2"/>
  <c r="V61" i="2"/>
  <c r="S122" i="2"/>
  <c r="Q61" i="2"/>
  <c r="W61" i="2"/>
  <c r="S119" i="2"/>
  <c r="X122" i="2"/>
  <c r="X61" i="2"/>
  <c r="X119" i="2"/>
  <c r="R61" i="2"/>
  <c r="T61" i="2"/>
  <c r="P61" i="2"/>
  <c r="L37" i="2"/>
  <c r="L122" i="2"/>
  <c r="V122" i="2" s="1"/>
  <c r="G37" i="2"/>
  <c r="G122" i="2"/>
  <c r="Q122" i="2" s="1"/>
  <c r="K37" i="2"/>
  <c r="K122" i="2"/>
  <c r="U122" i="2" s="1"/>
  <c r="J37" i="2"/>
  <c r="J122" i="2"/>
  <c r="T122" i="2" s="1"/>
  <c r="M37" i="2"/>
  <c r="M122" i="2"/>
  <c r="W122" i="2" s="1"/>
  <c r="H37" i="2"/>
  <c r="H122" i="2"/>
  <c r="R122" i="2" s="1"/>
  <c r="F37" i="2"/>
  <c r="F122" i="2"/>
  <c r="P122" i="2" s="1"/>
  <c r="L29" i="2"/>
  <c r="V28" i="2" s="1"/>
  <c r="V25" i="2"/>
  <c r="R25" i="2"/>
  <c r="H29" i="2"/>
  <c r="W22" i="2"/>
  <c r="M26" i="2"/>
  <c r="G26" i="2"/>
  <c r="Q22" i="2"/>
  <c r="U22" i="2"/>
  <c r="K26" i="2"/>
  <c r="I26" i="2"/>
  <c r="S22" i="2"/>
  <c r="N29" i="2"/>
  <c r="X25" i="2"/>
  <c r="P22" i="2"/>
  <c r="F26" i="2"/>
  <c r="T22" i="2"/>
  <c r="J26" i="2"/>
  <c r="R119" i="2"/>
  <c r="W119" i="2"/>
  <c r="T119" i="2"/>
  <c r="Q16" i="2"/>
  <c r="X16" i="2"/>
  <c r="P119" i="2"/>
  <c r="P16" i="2"/>
  <c r="Q119" i="2"/>
  <c r="U119" i="2"/>
  <c r="V119" i="2"/>
  <c r="W16" i="2"/>
  <c r="Q158" i="2"/>
  <c r="R16" i="2"/>
  <c r="T16" i="2"/>
  <c r="Q161" i="2"/>
  <c r="V16" i="2"/>
  <c r="S16" i="2"/>
  <c r="S161" i="2"/>
  <c r="I162" i="3"/>
  <c r="X134" i="2"/>
  <c r="P13" i="2"/>
  <c r="K156" i="2"/>
  <c r="K162" i="2" s="1"/>
  <c r="U161" i="2" s="1"/>
  <c r="Q113" i="2"/>
  <c r="L156" i="2"/>
  <c r="L162" i="2" s="1"/>
  <c r="V161" i="2" s="1"/>
  <c r="J156" i="2"/>
  <c r="J162" i="2" s="1"/>
  <c r="T161" i="2" s="1"/>
  <c r="N156" i="2"/>
  <c r="N162" i="2" s="1"/>
  <c r="X161" i="2" s="1"/>
  <c r="H162" i="3"/>
  <c r="R161" i="2"/>
  <c r="T13" i="2"/>
  <c r="Q116" i="2"/>
  <c r="U16" i="2"/>
  <c r="M156" i="2"/>
  <c r="M162" i="2" s="1"/>
  <c r="W161" i="2" s="1"/>
  <c r="X158" i="2"/>
  <c r="H155" i="2"/>
  <c r="N198" i="2"/>
  <c r="K155" i="2"/>
  <c r="K159" i="2" s="1"/>
  <c r="U158" i="2" s="1"/>
  <c r="Q155" i="2"/>
  <c r="S176" i="2"/>
  <c r="N100" i="2"/>
  <c r="X99" i="2" s="1"/>
  <c r="X96" i="2"/>
  <c r="X176" i="2"/>
  <c r="N201" i="2"/>
  <c r="P140" i="2"/>
  <c r="F167" i="2"/>
  <c r="N189" i="2"/>
  <c r="X188" i="2" s="1"/>
  <c r="X52" i="2"/>
  <c r="X113" i="2"/>
  <c r="N117" i="2"/>
  <c r="X116" i="2" s="1"/>
  <c r="M155" i="2"/>
  <c r="J155" i="2"/>
  <c r="X110" i="2"/>
  <c r="I155" i="2"/>
  <c r="I159" i="2" s="1"/>
  <c r="S158" i="2" s="1"/>
  <c r="L155" i="2"/>
  <c r="L159" i="2" s="1"/>
  <c r="V158" i="2" s="1"/>
  <c r="J189" i="2"/>
  <c r="T188" i="2" s="1"/>
  <c r="Q110" i="2"/>
  <c r="P90" i="2"/>
  <c r="Q90" i="2"/>
  <c r="S90" i="2"/>
  <c r="S110" i="2"/>
  <c r="T52" i="2"/>
  <c r="R110" i="2"/>
  <c r="W110" i="2"/>
  <c r="I198" i="2"/>
  <c r="L189" i="2"/>
  <c r="V188" i="2" s="1"/>
  <c r="V52" i="2"/>
  <c r="H201" i="2"/>
  <c r="R176" i="2"/>
  <c r="H189" i="2"/>
  <c r="R188" i="2" s="1"/>
  <c r="R52" i="2"/>
  <c r="M201" i="2"/>
  <c r="W176" i="2"/>
  <c r="P110" i="2"/>
  <c r="V110" i="2"/>
  <c r="R113" i="2"/>
  <c r="R116" i="2"/>
  <c r="V116" i="2"/>
  <c r="V113" i="2"/>
  <c r="K201" i="2"/>
  <c r="U176" i="2"/>
  <c r="L201" i="2"/>
  <c r="V176" i="2"/>
  <c r="K189" i="2"/>
  <c r="U188" i="2" s="1"/>
  <c r="U52" i="2"/>
  <c r="F189" i="2"/>
  <c r="P188" i="2" s="1"/>
  <c r="P52" i="2"/>
  <c r="U116" i="2"/>
  <c r="U113" i="2"/>
  <c r="T110" i="2"/>
  <c r="M189" i="2"/>
  <c r="W188" i="2" s="1"/>
  <c r="W52" i="2"/>
  <c r="Q176" i="2"/>
  <c r="G201" i="2"/>
  <c r="D72" i="2"/>
  <c r="D32" i="2"/>
  <c r="D44" i="2"/>
  <c r="J201" i="2"/>
  <c r="T176" i="2"/>
  <c r="T116" i="2"/>
  <c r="T113" i="2"/>
  <c r="K198" i="2"/>
  <c r="S116" i="2"/>
  <c r="S113" i="2"/>
  <c r="W116" i="2"/>
  <c r="W113" i="2"/>
  <c r="P176" i="2"/>
  <c r="F201" i="2"/>
  <c r="P113" i="2"/>
  <c r="F117" i="2"/>
  <c r="P116" i="2" s="1"/>
  <c r="G189" i="2"/>
  <c r="Q188" i="2" s="1"/>
  <c r="Q52" i="2"/>
  <c r="F174" i="2"/>
  <c r="S49" i="2"/>
  <c r="L32" i="2" l="1"/>
  <c r="V31" i="2" s="1"/>
  <c r="Q25" i="2"/>
  <c r="G29" i="2"/>
  <c r="J29" i="2"/>
  <c r="T25" i="2"/>
  <c r="W25" i="2"/>
  <c r="M29" i="2"/>
  <c r="F29" i="2"/>
  <c r="P25" i="2"/>
  <c r="S25" i="2"/>
  <c r="I29" i="2"/>
  <c r="U25" i="2"/>
  <c r="K29" i="2"/>
  <c r="R28" i="2"/>
  <c r="H32" i="2"/>
  <c r="X28" i="2"/>
  <c r="N32" i="2"/>
  <c r="X155" i="2"/>
  <c r="U155" i="2"/>
  <c r="F185" i="2"/>
  <c r="P185" i="2" s="1"/>
  <c r="P167" i="2"/>
  <c r="V155" i="2"/>
  <c r="J159" i="2"/>
  <c r="T158" i="2" s="1"/>
  <c r="T155" i="2"/>
  <c r="H159" i="2"/>
  <c r="R158" i="2" s="1"/>
  <c r="R155" i="2"/>
  <c r="S155" i="2"/>
  <c r="N200" i="2"/>
  <c r="X200" i="2" s="1"/>
  <c r="M159" i="2"/>
  <c r="W158" i="2" s="1"/>
  <c r="W155" i="2"/>
  <c r="I200" i="2"/>
  <c r="S200" i="2" s="1"/>
  <c r="F198" i="2"/>
  <c r="L198" i="2"/>
  <c r="D75" i="2"/>
  <c r="D78" i="2" s="1"/>
  <c r="D173" i="2"/>
  <c r="D197" i="2" s="1"/>
  <c r="H198" i="2"/>
  <c r="G198" i="2"/>
  <c r="I189" i="2"/>
  <c r="S188" i="2" s="1"/>
  <c r="S52" i="2"/>
  <c r="M198" i="2"/>
  <c r="K200" i="2"/>
  <c r="U200" i="2" s="1"/>
  <c r="J198" i="2"/>
  <c r="L35" i="2" l="1"/>
  <c r="L38" i="2" s="1"/>
  <c r="U28" i="2"/>
  <c r="K32" i="2"/>
  <c r="S28" i="2"/>
  <c r="I32" i="2"/>
  <c r="T28" i="2"/>
  <c r="J32" i="2"/>
  <c r="W28" i="2"/>
  <c r="M32" i="2"/>
  <c r="X31" i="2"/>
  <c r="N35" i="2"/>
  <c r="N38" i="2" s="1"/>
  <c r="Q28" i="2"/>
  <c r="G32" i="2"/>
  <c r="H35" i="2"/>
  <c r="H38" i="2" s="1"/>
  <c r="R31" i="2"/>
  <c r="P28" i="2"/>
  <c r="F32" i="2"/>
  <c r="F200" i="2"/>
  <c r="P200" i="2" s="1"/>
  <c r="G200" i="2"/>
  <c r="Q200" i="2" s="1"/>
  <c r="J200" i="2"/>
  <c r="T200" i="2" s="1"/>
  <c r="M200" i="2"/>
  <c r="W200" i="2" s="1"/>
  <c r="H200" i="2"/>
  <c r="R200" i="2" s="1"/>
  <c r="D82" i="2"/>
  <c r="D84" i="2"/>
  <c r="D88" i="2" s="1"/>
  <c r="L200" i="2"/>
  <c r="V200" i="2" s="1"/>
  <c r="V34" i="2" l="1"/>
  <c r="L195" i="2"/>
  <c r="V194" i="2" s="1"/>
  <c r="X34" i="2"/>
  <c r="N195" i="2"/>
  <c r="X194" i="2" s="1"/>
  <c r="F35" i="2"/>
  <c r="P31" i="2"/>
  <c r="M35" i="2"/>
  <c r="M38" i="2" s="1"/>
  <c r="W31" i="2"/>
  <c r="K35" i="2"/>
  <c r="K38" i="2" s="1"/>
  <c r="U31" i="2"/>
  <c r="R34" i="2"/>
  <c r="H195" i="2"/>
  <c r="R194" i="2" s="1"/>
  <c r="T31" i="2"/>
  <c r="J35" i="2"/>
  <c r="J38" i="2" s="1"/>
  <c r="G35" i="2"/>
  <c r="G38" i="2" s="1"/>
  <c r="Q31" i="2"/>
  <c r="I35" i="2"/>
  <c r="I38" i="2" s="1"/>
  <c r="S31" i="2"/>
  <c r="L41" i="2"/>
  <c r="V37" i="2"/>
  <c r="S34" i="2" l="1"/>
  <c r="I195" i="2"/>
  <c r="S194" i="2" s="1"/>
  <c r="R37" i="2"/>
  <c r="H41" i="2"/>
  <c r="W34" i="2"/>
  <c r="M195" i="2"/>
  <c r="W194" i="2" s="1"/>
  <c r="F38" i="2"/>
  <c r="P34" i="2"/>
  <c r="F195" i="2"/>
  <c r="P194" i="2" s="1"/>
  <c r="U34" i="2"/>
  <c r="K195" i="2"/>
  <c r="U194" i="2" s="1"/>
  <c r="Q34" i="2"/>
  <c r="G195" i="2"/>
  <c r="Q194" i="2" s="1"/>
  <c r="T34" i="2"/>
  <c r="J195" i="2"/>
  <c r="T194" i="2" s="1"/>
  <c r="X37" i="2"/>
  <c r="N41" i="2"/>
  <c r="L44" i="2"/>
  <c r="L59" i="2" s="1"/>
  <c r="V40" i="2"/>
  <c r="G166" i="3"/>
  <c r="G183" i="3" s="1"/>
  <c r="C80" i="1"/>
  <c r="C37" i="1"/>
  <c r="F128" i="1"/>
  <c r="E128" i="1"/>
  <c r="D128" i="1"/>
  <c r="C128" i="1"/>
  <c r="D2" i="1"/>
  <c r="D80" i="1" s="1"/>
  <c r="K128" i="1"/>
  <c r="J128" i="1"/>
  <c r="I128" i="1"/>
  <c r="H128" i="1"/>
  <c r="G128" i="1"/>
  <c r="Z185" i="3" l="1"/>
  <c r="G186" i="3"/>
  <c r="V191" i="2"/>
  <c r="V58" i="2"/>
  <c r="G209" i="3"/>
  <c r="G250" i="3" s="1"/>
  <c r="G282" i="3" s="1"/>
  <c r="G324" i="3" s="1"/>
  <c r="G456" i="3" s="1"/>
  <c r="G489" i="3" s="1"/>
  <c r="R40" i="2"/>
  <c r="H44" i="2"/>
  <c r="H59" i="2" s="1"/>
  <c r="N44" i="2"/>
  <c r="N59" i="2" s="1"/>
  <c r="X40" i="2"/>
  <c r="K41" i="2"/>
  <c r="U37" i="2"/>
  <c r="J41" i="2"/>
  <c r="T37" i="2"/>
  <c r="I41" i="2"/>
  <c r="S37" i="2"/>
  <c r="F41" i="2"/>
  <c r="P37" i="2"/>
  <c r="M41" i="2"/>
  <c r="W37" i="2"/>
  <c r="G41" i="2"/>
  <c r="Q37" i="2"/>
  <c r="H37" i="3"/>
  <c r="H80" i="3"/>
  <c r="H132" i="3" s="1"/>
  <c r="H166" i="3" s="1"/>
  <c r="H183" i="3" s="1"/>
  <c r="R2" i="1"/>
  <c r="D37" i="1"/>
  <c r="L47" i="2"/>
  <c r="V43" i="2"/>
  <c r="E2" i="1"/>
  <c r="G4" i="2"/>
  <c r="AA185" i="3" l="1"/>
  <c r="H186" i="3"/>
  <c r="G193" i="3"/>
  <c r="G192" i="3"/>
  <c r="G191" i="3"/>
  <c r="R191" i="2"/>
  <c r="R58" i="2"/>
  <c r="X191" i="2"/>
  <c r="X58" i="2"/>
  <c r="G366" i="3"/>
  <c r="G399" i="3" s="1"/>
  <c r="G428" i="3" s="1"/>
  <c r="H209" i="3"/>
  <c r="H250" i="3" s="1"/>
  <c r="H282" i="3" s="1"/>
  <c r="H324" i="3" s="1"/>
  <c r="H366" i="3" s="1"/>
  <c r="H399" i="3" s="1"/>
  <c r="H428" i="3" s="1"/>
  <c r="T40" i="2"/>
  <c r="J44" i="2"/>
  <c r="J59" i="2" s="1"/>
  <c r="F44" i="2"/>
  <c r="F59" i="2" s="1"/>
  <c r="P40" i="2"/>
  <c r="U40" i="2"/>
  <c r="K44" i="2"/>
  <c r="K59" i="2" s="1"/>
  <c r="I44" i="2"/>
  <c r="I59" i="2" s="1"/>
  <c r="S40" i="2"/>
  <c r="X43" i="2"/>
  <c r="N47" i="2"/>
  <c r="M44" i="2"/>
  <c r="M59" i="2" s="1"/>
  <c r="W40" i="2"/>
  <c r="H47" i="2"/>
  <c r="R43" i="2"/>
  <c r="G44" i="2"/>
  <c r="G59" i="2" s="1"/>
  <c r="Q40" i="2"/>
  <c r="I37" i="3"/>
  <c r="I80" i="3"/>
  <c r="I132" i="3" s="1"/>
  <c r="I166" i="3" s="1"/>
  <c r="I183" i="3" s="1"/>
  <c r="S2" i="1"/>
  <c r="L72" i="2"/>
  <c r="L171" i="2"/>
  <c r="V170" i="2" s="1"/>
  <c r="V46" i="2"/>
  <c r="G67" i="2"/>
  <c r="Q4" i="2"/>
  <c r="F2" i="1"/>
  <c r="H4" i="2"/>
  <c r="E80" i="1"/>
  <c r="E37" i="1"/>
  <c r="H456" i="3" l="1"/>
  <c r="H489" i="3" s="1"/>
  <c r="I186" i="3"/>
  <c r="AB185" i="3"/>
  <c r="H192" i="3"/>
  <c r="H193" i="3"/>
  <c r="H191" i="3"/>
  <c r="S191" i="2"/>
  <c r="S58" i="2"/>
  <c r="T58" i="2"/>
  <c r="T191" i="2"/>
  <c r="U191" i="2"/>
  <c r="U58" i="2"/>
  <c r="Q191" i="2"/>
  <c r="Q58" i="2"/>
  <c r="W191" i="2"/>
  <c r="W58" i="2"/>
  <c r="P191" i="2"/>
  <c r="P58" i="2"/>
  <c r="I209" i="3"/>
  <c r="I250" i="3" s="1"/>
  <c r="I282" i="3" s="1"/>
  <c r="I324" i="3" s="1"/>
  <c r="I366" i="3" s="1"/>
  <c r="I399" i="3" s="1"/>
  <c r="I428" i="3" s="1"/>
  <c r="K47" i="2"/>
  <c r="U43" i="2"/>
  <c r="H72" i="2"/>
  <c r="H171" i="2"/>
  <c r="R170" i="2" s="1"/>
  <c r="R46" i="2"/>
  <c r="W43" i="2"/>
  <c r="M47" i="2"/>
  <c r="F47" i="2"/>
  <c r="P43" i="2"/>
  <c r="N72" i="2"/>
  <c r="N171" i="2"/>
  <c r="X170" i="2" s="1"/>
  <c r="X46" i="2"/>
  <c r="J47" i="2"/>
  <c r="T43" i="2"/>
  <c r="G47" i="2"/>
  <c r="Q43" i="2"/>
  <c r="I47" i="2"/>
  <c r="S43" i="2"/>
  <c r="J80" i="3"/>
  <c r="J132" i="3" s="1"/>
  <c r="J166" i="3" s="1"/>
  <c r="J183" i="3" s="1"/>
  <c r="J37" i="3"/>
  <c r="T2" i="1"/>
  <c r="G2" i="1"/>
  <c r="I4" i="2"/>
  <c r="F37" i="1"/>
  <c r="F80" i="1"/>
  <c r="L173" i="2"/>
  <c r="V173" i="2" s="1"/>
  <c r="V179" i="2" s="1"/>
  <c r="V180" i="2" s="1"/>
  <c r="L75" i="2"/>
  <c r="V72" i="2"/>
  <c r="H67" i="2"/>
  <c r="R4" i="2"/>
  <c r="G107" i="2"/>
  <c r="Q67" i="2"/>
  <c r="P203" i="2" l="1"/>
  <c r="P204" i="2" s="1"/>
  <c r="I456" i="3"/>
  <c r="I489" i="3" s="1"/>
  <c r="J186" i="3"/>
  <c r="AC185" i="3"/>
  <c r="I193" i="3"/>
  <c r="I192" i="3"/>
  <c r="I191" i="3"/>
  <c r="J209" i="3"/>
  <c r="J250" i="3" s="1"/>
  <c r="J282" i="3" s="1"/>
  <c r="J324" i="3" s="1"/>
  <c r="J456" i="3" s="1"/>
  <c r="J489" i="3" s="1"/>
  <c r="Q46" i="2"/>
  <c r="G72" i="2"/>
  <c r="G171" i="2"/>
  <c r="Q170" i="2" s="1"/>
  <c r="M171" i="2"/>
  <c r="W170" i="2" s="1"/>
  <c r="M72" i="2"/>
  <c r="W46" i="2"/>
  <c r="H75" i="2"/>
  <c r="H173" i="2"/>
  <c r="R72" i="2"/>
  <c r="J72" i="2"/>
  <c r="T46" i="2"/>
  <c r="J171" i="2"/>
  <c r="T170" i="2" s="1"/>
  <c r="I72" i="2"/>
  <c r="I171" i="2"/>
  <c r="S170" i="2" s="1"/>
  <c r="S46" i="2"/>
  <c r="N75" i="2"/>
  <c r="N173" i="2"/>
  <c r="X72" i="2"/>
  <c r="F72" i="2"/>
  <c r="F171" i="2"/>
  <c r="P170" i="2" s="1"/>
  <c r="P46" i="2"/>
  <c r="K72" i="2"/>
  <c r="K171" i="2"/>
  <c r="U170" i="2" s="1"/>
  <c r="U46" i="2"/>
  <c r="K80" i="3"/>
  <c r="K132" i="3" s="1"/>
  <c r="K166" i="3" s="1"/>
  <c r="K183" i="3" s="1"/>
  <c r="K37" i="3"/>
  <c r="U2" i="1"/>
  <c r="L197" i="2"/>
  <c r="V197" i="2" s="1"/>
  <c r="V203" i="2" s="1"/>
  <c r="V204" i="2" s="1"/>
  <c r="L78" i="2"/>
  <c r="V75" i="2"/>
  <c r="I67" i="2"/>
  <c r="S4" i="2"/>
  <c r="G128" i="2"/>
  <c r="Q107" i="2"/>
  <c r="J4" i="2"/>
  <c r="G37" i="1"/>
  <c r="G80" i="1"/>
  <c r="H2" i="1"/>
  <c r="H107" i="2"/>
  <c r="R67" i="2"/>
  <c r="J366" i="3" l="1"/>
  <c r="J399" i="3" s="1"/>
  <c r="J428" i="3" s="1"/>
  <c r="K186" i="3"/>
  <c r="AD185" i="3"/>
  <c r="J193" i="3"/>
  <c r="J192" i="3"/>
  <c r="J191" i="3"/>
  <c r="K209" i="3"/>
  <c r="K250" i="3" s="1"/>
  <c r="K282" i="3" s="1"/>
  <c r="K324" i="3" s="1"/>
  <c r="K456" i="3" s="1"/>
  <c r="K489" i="3" s="1"/>
  <c r="H78" i="2"/>
  <c r="R75" i="2"/>
  <c r="S72" i="2"/>
  <c r="I75" i="2"/>
  <c r="I173" i="2"/>
  <c r="M173" i="2"/>
  <c r="M75" i="2"/>
  <c r="W72" i="2"/>
  <c r="H197" i="2"/>
  <c r="R197" i="2" s="1"/>
  <c r="R203" i="2" s="1"/>
  <c r="R204" i="2" s="1"/>
  <c r="R173" i="2"/>
  <c r="R179" i="2" s="1"/>
  <c r="R180" i="2" s="1"/>
  <c r="U72" i="2"/>
  <c r="K75" i="2"/>
  <c r="K173" i="2"/>
  <c r="F75" i="2"/>
  <c r="F173" i="2"/>
  <c r="P72" i="2"/>
  <c r="T72" i="2"/>
  <c r="J173" i="2"/>
  <c r="J75" i="2"/>
  <c r="G75" i="2"/>
  <c r="G173" i="2"/>
  <c r="Q72" i="2"/>
  <c r="N78" i="2"/>
  <c r="X75" i="2"/>
  <c r="X173" i="2"/>
  <c r="X179" i="2" s="1"/>
  <c r="X180" i="2" s="1"/>
  <c r="N197" i="2"/>
  <c r="X197" i="2" s="1"/>
  <c r="X203" i="2" s="1"/>
  <c r="X204" i="2" s="1"/>
  <c r="L80" i="3"/>
  <c r="L132" i="3" s="1"/>
  <c r="L166" i="3" s="1"/>
  <c r="L183" i="3" s="1"/>
  <c r="L37" i="3"/>
  <c r="V2" i="1"/>
  <c r="G140" i="2"/>
  <c r="Q128" i="2"/>
  <c r="H128" i="2"/>
  <c r="R107" i="2"/>
  <c r="I107" i="2"/>
  <c r="S67" i="2"/>
  <c r="J67" i="2"/>
  <c r="T4" i="2"/>
  <c r="K4" i="2"/>
  <c r="H37" i="1"/>
  <c r="H80" i="1"/>
  <c r="I2" i="1"/>
  <c r="L82" i="2"/>
  <c r="V78" i="2"/>
  <c r="L186" i="3" l="1"/>
  <c r="AE185" i="3"/>
  <c r="K193" i="3"/>
  <c r="K192" i="3"/>
  <c r="K191" i="3"/>
  <c r="K366" i="3"/>
  <c r="K399" i="3" s="1"/>
  <c r="K428" i="3" s="1"/>
  <c r="L209" i="3"/>
  <c r="L250" i="3" s="1"/>
  <c r="L282" i="3" s="1"/>
  <c r="L324" i="3" s="1"/>
  <c r="M78" i="2"/>
  <c r="W75" i="2"/>
  <c r="F197" i="2"/>
  <c r="P197" i="2" s="1"/>
  <c r="P173" i="2"/>
  <c r="P179" i="2" s="1"/>
  <c r="P180" i="2" s="1"/>
  <c r="G197" i="2"/>
  <c r="Q197" i="2" s="1"/>
  <c r="Q203" i="2" s="1"/>
  <c r="Q204" i="2" s="1"/>
  <c r="Q173" i="2"/>
  <c r="Q179" i="2" s="1"/>
  <c r="Q180" i="2" s="1"/>
  <c r="U173" i="2"/>
  <c r="U179" i="2" s="1"/>
  <c r="U180" i="2" s="1"/>
  <c r="K197" i="2"/>
  <c r="U197" i="2" s="1"/>
  <c r="U203" i="2" s="1"/>
  <c r="U204" i="2" s="1"/>
  <c r="S173" i="2"/>
  <c r="S179" i="2" s="1"/>
  <c r="S180" i="2" s="1"/>
  <c r="I197" i="2"/>
  <c r="S197" i="2" s="1"/>
  <c r="S203" i="2" s="1"/>
  <c r="S204" i="2" s="1"/>
  <c r="X78" i="2"/>
  <c r="N82" i="2"/>
  <c r="W173" i="2"/>
  <c r="W179" i="2" s="1"/>
  <c r="W180" i="2" s="1"/>
  <c r="M197" i="2"/>
  <c r="W197" i="2" s="1"/>
  <c r="W203" i="2" s="1"/>
  <c r="W204" i="2" s="1"/>
  <c r="G78" i="2"/>
  <c r="Q75" i="2"/>
  <c r="K78" i="2"/>
  <c r="U75" i="2"/>
  <c r="S75" i="2"/>
  <c r="I78" i="2"/>
  <c r="F78" i="2"/>
  <c r="P75" i="2"/>
  <c r="T75" i="2"/>
  <c r="J78" i="2"/>
  <c r="J197" i="2"/>
  <c r="T197" i="2" s="1"/>
  <c r="T203" i="2" s="1"/>
  <c r="T204" i="2" s="1"/>
  <c r="T173" i="2"/>
  <c r="T179" i="2" s="1"/>
  <c r="T180" i="2" s="1"/>
  <c r="H82" i="2"/>
  <c r="R78" i="2"/>
  <c r="M80" i="3"/>
  <c r="M132" i="3" s="1"/>
  <c r="M166" i="3" s="1"/>
  <c r="M183" i="3" s="1"/>
  <c r="M37" i="3"/>
  <c r="W2" i="1"/>
  <c r="L4" i="2"/>
  <c r="I80" i="1"/>
  <c r="I37" i="1"/>
  <c r="J2" i="1"/>
  <c r="I128" i="2"/>
  <c r="S107" i="2"/>
  <c r="J107" i="2"/>
  <c r="T67" i="2"/>
  <c r="R128" i="2"/>
  <c r="H140" i="2"/>
  <c r="K67" i="2"/>
  <c r="U4" i="2"/>
  <c r="L84" i="2"/>
  <c r="V81" i="2"/>
  <c r="Q140" i="2"/>
  <c r="G167" i="2"/>
  <c r="M186" i="3" l="1"/>
  <c r="AF185" i="3"/>
  <c r="L193" i="3"/>
  <c r="L192" i="3"/>
  <c r="L191" i="3"/>
  <c r="M209" i="3"/>
  <c r="M250" i="3" s="1"/>
  <c r="M282" i="3" s="1"/>
  <c r="M324" i="3" s="1"/>
  <c r="J82" i="2"/>
  <c r="T78" i="2"/>
  <c r="G82" i="2"/>
  <c r="Q78" i="2"/>
  <c r="I82" i="2"/>
  <c r="S78" i="2"/>
  <c r="X81" i="2"/>
  <c r="N84" i="2"/>
  <c r="R81" i="2"/>
  <c r="H84" i="2"/>
  <c r="F82" i="2"/>
  <c r="P78" i="2"/>
  <c r="U78" i="2"/>
  <c r="K82" i="2"/>
  <c r="W78" i="2"/>
  <c r="M82" i="2"/>
  <c r="N80" i="3"/>
  <c r="N132" i="3" s="1"/>
  <c r="N166" i="3" s="1"/>
  <c r="N183" i="3" s="1"/>
  <c r="N37" i="3"/>
  <c r="X2" i="1"/>
  <c r="L456" i="3"/>
  <c r="L489" i="3" s="1"/>
  <c r="L366" i="3"/>
  <c r="L399" i="3" s="1"/>
  <c r="L428" i="3" s="1"/>
  <c r="T107" i="2"/>
  <c r="J128" i="2"/>
  <c r="S128" i="2"/>
  <c r="I140" i="2"/>
  <c r="K107" i="2"/>
  <c r="U67" i="2"/>
  <c r="L88" i="2"/>
  <c r="V87" i="2" s="1"/>
  <c r="V102" i="2" s="1"/>
  <c r="V84" i="2"/>
  <c r="G185" i="2"/>
  <c r="Q185" i="2" s="1"/>
  <c r="Q167" i="2"/>
  <c r="M4" i="2"/>
  <c r="J80" i="1"/>
  <c r="J37" i="1"/>
  <c r="K2" i="1"/>
  <c r="R140" i="2"/>
  <c r="H167" i="2"/>
  <c r="L67" i="2"/>
  <c r="V4" i="2"/>
  <c r="AG185" i="3" l="1"/>
  <c r="N186" i="3"/>
  <c r="M193" i="3"/>
  <c r="M192" i="3"/>
  <c r="M191" i="3"/>
  <c r="N209" i="3"/>
  <c r="N250" i="3" s="1"/>
  <c r="N282" i="3" s="1"/>
  <c r="N324" i="3" s="1"/>
  <c r="N88" i="2"/>
  <c r="X87" i="2" s="1"/>
  <c r="X102" i="2" s="1"/>
  <c r="X84" i="2"/>
  <c r="U81" i="2"/>
  <c r="K84" i="2"/>
  <c r="S81" i="2"/>
  <c r="I84" i="2"/>
  <c r="Q81" i="2"/>
  <c r="G84" i="2"/>
  <c r="H88" i="2"/>
  <c r="R87" i="2" s="1"/>
  <c r="R102" i="2" s="1"/>
  <c r="R84" i="2"/>
  <c r="W81" i="2"/>
  <c r="M84" i="2"/>
  <c r="F84" i="2"/>
  <c r="P81" i="2"/>
  <c r="J84" i="2"/>
  <c r="T81" i="2"/>
  <c r="O37" i="3"/>
  <c r="O80" i="3"/>
  <c r="O132" i="3" s="1"/>
  <c r="O166" i="3" s="1"/>
  <c r="O183" i="3" s="1"/>
  <c r="Y2" i="1"/>
  <c r="M456" i="3"/>
  <c r="M489" i="3" s="1"/>
  <c r="M366" i="3"/>
  <c r="M399" i="3" s="1"/>
  <c r="M428" i="3" s="1"/>
  <c r="N4" i="2"/>
  <c r="K80" i="1"/>
  <c r="K37" i="1"/>
  <c r="K128" i="2"/>
  <c r="U107" i="2"/>
  <c r="R167" i="2"/>
  <c r="H185" i="2"/>
  <c r="R185" i="2" s="1"/>
  <c r="S140" i="2"/>
  <c r="I167" i="2"/>
  <c r="T128" i="2"/>
  <c r="J140" i="2"/>
  <c r="M67" i="2"/>
  <c r="W4" i="2"/>
  <c r="V67" i="2"/>
  <c r="L107" i="2"/>
  <c r="AH185" i="3" l="1"/>
  <c r="O186" i="3"/>
  <c r="N192" i="3"/>
  <c r="N193" i="3"/>
  <c r="N191" i="3"/>
  <c r="O209" i="3"/>
  <c r="O250" i="3" s="1"/>
  <c r="O282" i="3" s="1"/>
  <c r="O324" i="3" s="1"/>
  <c r="J88" i="2"/>
  <c r="T87" i="2" s="1"/>
  <c r="T102" i="2" s="1"/>
  <c r="T84" i="2"/>
  <c r="K88" i="2"/>
  <c r="U87" i="2" s="1"/>
  <c r="U102" i="2" s="1"/>
  <c r="U84" i="2"/>
  <c r="Q84" i="2"/>
  <c r="G88" i="2"/>
  <c r="Q87" i="2" s="1"/>
  <c r="Q102" i="2" s="1"/>
  <c r="S84" i="2"/>
  <c r="I88" i="2"/>
  <c r="S87" i="2" s="1"/>
  <c r="S102" i="2" s="1"/>
  <c r="M88" i="2"/>
  <c r="W87" i="2" s="1"/>
  <c r="W102" i="2" s="1"/>
  <c r="W84" i="2"/>
  <c r="F88" i="2"/>
  <c r="P87" i="2" s="1"/>
  <c r="P102" i="2" s="1"/>
  <c r="P84" i="2"/>
  <c r="P37" i="3"/>
  <c r="P80" i="3"/>
  <c r="P132" i="3" s="1"/>
  <c r="P166" i="3" s="1"/>
  <c r="P183" i="3" s="1"/>
  <c r="N456" i="3"/>
  <c r="N489" i="3" s="1"/>
  <c r="N366" i="3"/>
  <c r="N399" i="3" s="1"/>
  <c r="N428" i="3" s="1"/>
  <c r="V107" i="2"/>
  <c r="L128" i="2"/>
  <c r="M107" i="2"/>
  <c r="W67" i="2"/>
  <c r="T140" i="2"/>
  <c r="J167" i="2"/>
  <c r="K140" i="2"/>
  <c r="U128" i="2"/>
  <c r="S167" i="2"/>
  <c r="I185" i="2"/>
  <c r="S185" i="2" s="1"/>
  <c r="N67" i="2"/>
  <c r="X4" i="2"/>
  <c r="AI185" i="3" l="1"/>
  <c r="P186" i="3"/>
  <c r="O192" i="3"/>
  <c r="O193" i="3"/>
  <c r="O191" i="3"/>
  <c r="P209" i="3"/>
  <c r="P250" i="3" s="1"/>
  <c r="P282" i="3" s="1"/>
  <c r="P324" i="3" s="1"/>
  <c r="Q37" i="3"/>
  <c r="Q80" i="3"/>
  <c r="Q132" i="3" s="1"/>
  <c r="Q166" i="3" s="1"/>
  <c r="Q183" i="3" s="1"/>
  <c r="O456" i="3"/>
  <c r="O489" i="3" s="1"/>
  <c r="O366" i="3"/>
  <c r="O399" i="3" s="1"/>
  <c r="O428" i="3" s="1"/>
  <c r="J185" i="2"/>
  <c r="T185" i="2" s="1"/>
  <c r="T167" i="2"/>
  <c r="M128" i="2"/>
  <c r="W107" i="2"/>
  <c r="L140" i="2"/>
  <c r="V128" i="2"/>
  <c r="U140" i="2"/>
  <c r="K167" i="2"/>
  <c r="N107" i="2"/>
  <c r="X67" i="2"/>
  <c r="P216" i="3" l="1"/>
  <c r="P221" i="3" s="1"/>
  <c r="P230" i="3" s="1"/>
  <c r="Q186" i="3"/>
  <c r="AJ185" i="3"/>
  <c r="M222" i="3"/>
  <c r="M231" i="3" s="1"/>
  <c r="P196" i="3"/>
  <c r="P197" i="3"/>
  <c r="P198" i="3"/>
  <c r="Q209" i="3"/>
  <c r="Q216" i="3" s="1"/>
  <c r="Q221" i="3" s="1"/>
  <c r="Q230" i="3" s="1"/>
  <c r="R80" i="3"/>
  <c r="R132" i="3" s="1"/>
  <c r="R166" i="3" s="1"/>
  <c r="R183" i="3" s="1"/>
  <c r="R37" i="3"/>
  <c r="P456" i="3"/>
  <c r="P489" i="3" s="1"/>
  <c r="P366" i="3"/>
  <c r="P399" i="3" s="1"/>
  <c r="P428" i="3" s="1"/>
  <c r="V140" i="2"/>
  <c r="L167" i="2"/>
  <c r="W128" i="2"/>
  <c r="M140" i="2"/>
  <c r="U167" i="2"/>
  <c r="K185" i="2"/>
  <c r="U185" i="2" s="1"/>
  <c r="N128" i="2"/>
  <c r="X107" i="2"/>
  <c r="Q250" i="3" l="1"/>
  <c r="Q282" i="3" s="1"/>
  <c r="Q324" i="3" s="1"/>
  <c r="Q456" i="3" s="1"/>
  <c r="Q489" i="3" s="1"/>
  <c r="M223" i="3"/>
  <c r="M232" i="3" s="1"/>
  <c r="P86" i="3"/>
  <c r="P203" i="3"/>
  <c r="P202" i="3"/>
  <c r="P205" i="3" s="1"/>
  <c r="P85" i="3"/>
  <c r="Q202" i="3"/>
  <c r="R186" i="3"/>
  <c r="AK185" i="3"/>
  <c r="P100" i="3"/>
  <c r="P204" i="3"/>
  <c r="Q196" i="3"/>
  <c r="Q197" i="3"/>
  <c r="Q198" i="3"/>
  <c r="R209" i="3"/>
  <c r="R250" i="3" s="1"/>
  <c r="R282" i="3" s="1"/>
  <c r="R324" i="3" s="1"/>
  <c r="S80" i="3"/>
  <c r="S132" i="3" s="1"/>
  <c r="S166" i="3" s="1"/>
  <c r="S183" i="3" s="1"/>
  <c r="S37" i="3"/>
  <c r="Q366" i="3"/>
  <c r="Q399" i="3" s="1"/>
  <c r="Q428" i="3" s="1"/>
  <c r="N140" i="2"/>
  <c r="X128" i="2"/>
  <c r="W140" i="2"/>
  <c r="M167" i="2"/>
  <c r="V167" i="2"/>
  <c r="L185" i="2"/>
  <c r="V185" i="2" s="1"/>
  <c r="P44" i="3" l="1"/>
  <c r="P473" i="3"/>
  <c r="R216" i="3"/>
  <c r="R221" i="3" s="1"/>
  <c r="R230" i="3" s="1"/>
  <c r="S186" i="3"/>
  <c r="AL185" i="3"/>
  <c r="Q100" i="3"/>
  <c r="Q204" i="3"/>
  <c r="Q86" i="3"/>
  <c r="M224" i="3"/>
  <c r="M233" i="3" s="1"/>
  <c r="Q85" i="3"/>
  <c r="Q203" i="3"/>
  <c r="R196" i="3"/>
  <c r="R197" i="3"/>
  <c r="R198" i="3"/>
  <c r="S209" i="3"/>
  <c r="M225" i="3" s="1"/>
  <c r="M234" i="3" s="1"/>
  <c r="T80" i="3"/>
  <c r="T132" i="3" s="1"/>
  <c r="T166" i="3" s="1"/>
  <c r="T183" i="3" s="1"/>
  <c r="T37" i="3"/>
  <c r="R456" i="3"/>
  <c r="R489" i="3" s="1"/>
  <c r="R366" i="3"/>
  <c r="R399" i="3" s="1"/>
  <c r="R428" i="3" s="1"/>
  <c r="M185" i="2"/>
  <c r="W185" i="2" s="1"/>
  <c r="W167" i="2"/>
  <c r="N167" i="2"/>
  <c r="X140" i="2"/>
  <c r="S250" i="3" l="1"/>
  <c r="S282" i="3" s="1"/>
  <c r="S324" i="3" s="1"/>
  <c r="S456" i="3" s="1"/>
  <c r="S489" i="3" s="1"/>
  <c r="S216" i="3"/>
  <c r="S221" i="3" s="1"/>
  <c r="S230" i="3" s="1"/>
  <c r="Q205" i="3"/>
  <c r="Q473" i="3" s="1"/>
  <c r="Q484" i="3" s="1"/>
  <c r="R85" i="3"/>
  <c r="R86" i="3"/>
  <c r="T186" i="3"/>
  <c r="AM185" i="3"/>
  <c r="R202" i="3"/>
  <c r="P484" i="3"/>
  <c r="P474" i="3"/>
  <c r="P498" i="3" s="1"/>
  <c r="S196" i="3"/>
  <c r="S202" i="3" s="1"/>
  <c r="S197" i="3"/>
  <c r="S203" i="3" s="1"/>
  <c r="S198" i="3"/>
  <c r="R100" i="3"/>
  <c r="R204" i="3"/>
  <c r="R203" i="3"/>
  <c r="T209" i="3"/>
  <c r="T216" i="3" s="1"/>
  <c r="T221" i="3" s="1"/>
  <c r="T230" i="3" s="1"/>
  <c r="X167" i="2"/>
  <c r="N185" i="2"/>
  <c r="X185" i="2" s="1"/>
  <c r="S366" i="3" l="1"/>
  <c r="S399" i="3" s="1"/>
  <c r="S428" i="3" s="1"/>
  <c r="T250" i="3"/>
  <c r="T282" i="3" s="1"/>
  <c r="T324" i="3" s="1"/>
  <c r="Q44" i="3"/>
  <c r="M226" i="3"/>
  <c r="M235" i="3" s="1"/>
  <c r="S100" i="3"/>
  <c r="S204" i="3"/>
  <c r="S205" i="3" s="1"/>
  <c r="P502" i="3"/>
  <c r="S86" i="3"/>
  <c r="S85" i="3"/>
  <c r="T196" i="3"/>
  <c r="T197" i="3"/>
  <c r="T203" i="3" s="1"/>
  <c r="T198" i="3"/>
  <c r="R205" i="3"/>
  <c r="T456" i="3"/>
  <c r="T489" i="3" s="1"/>
  <c r="T366" i="3"/>
  <c r="T399" i="3" s="1"/>
  <c r="T428" i="3" s="1"/>
  <c r="S44" i="3" l="1"/>
  <c r="S473" i="3"/>
  <c r="S484" i="3" s="1"/>
  <c r="R44" i="3"/>
  <c r="R473" i="3"/>
  <c r="R484" i="3" s="1"/>
  <c r="T86" i="3"/>
  <c r="U203" i="3"/>
  <c r="T100" i="3"/>
  <c r="U204" i="3"/>
  <c r="T204" i="3"/>
  <c r="P509" i="3"/>
  <c r="P504" i="3"/>
  <c r="T85" i="3"/>
  <c r="U202" i="3"/>
  <c r="T202" i="3"/>
  <c r="T205" i="3" s="1"/>
  <c r="U336" i="3"/>
  <c r="U338" i="3" s="1"/>
  <c r="U342" i="3" s="1"/>
  <c r="U205" i="3" l="1"/>
  <c r="U473" i="3" s="1"/>
  <c r="U484" i="3" s="1"/>
  <c r="T473" i="3"/>
  <c r="T484" i="3" s="1"/>
  <c r="T44" i="3"/>
  <c r="P516" i="3"/>
  <c r="P518" i="3" s="1"/>
  <c r="P511" i="3"/>
  <c r="U328" i="3"/>
  <c r="U482" i="3"/>
  <c r="AI48" i="3" l="1"/>
  <c r="AJ48" i="3"/>
  <c r="AK48" i="3"/>
  <c r="AL48" i="3"/>
  <c r="F221" i="2" l="1"/>
  <c r="G221" i="2"/>
  <c r="H221" i="2"/>
  <c r="I221" i="2"/>
  <c r="J221" i="2"/>
  <c r="F222" i="2"/>
  <c r="G222" i="2"/>
  <c r="H222" i="2"/>
  <c r="I222" i="2"/>
  <c r="J222" i="2"/>
  <c r="F224" i="2"/>
  <c r="G224" i="2"/>
  <c r="H224" i="2"/>
  <c r="I224" i="2"/>
  <c r="J224" i="2"/>
  <c r="F225" i="2"/>
  <c r="G225" i="2"/>
  <c r="H225" i="2"/>
  <c r="I225" i="2"/>
  <c r="J225" i="2"/>
  <c r="I233" i="2"/>
  <c r="J233" i="2"/>
  <c r="F234" i="2"/>
  <c r="G234" i="2"/>
  <c r="I239" i="2"/>
  <c r="J239" i="2"/>
  <c r="F240" i="2"/>
  <c r="G240" i="2"/>
  <c r="F242" i="2"/>
  <c r="G242" i="2"/>
  <c r="I242" i="2"/>
  <c r="J242" i="2"/>
  <c r="P19" i="3"/>
  <c r="Q19" i="3"/>
  <c r="R19" i="3"/>
  <c r="S19" i="3"/>
  <c r="T19" i="3"/>
  <c r="U19" i="3"/>
  <c r="P21" i="3"/>
  <c r="Q21" i="3"/>
  <c r="R21" i="3"/>
  <c r="S21" i="3"/>
  <c r="T21" i="3"/>
  <c r="U21" i="3"/>
  <c r="AH21" i="3"/>
  <c r="AI21" i="3"/>
  <c r="AJ21" i="3"/>
  <c r="AK21" i="3"/>
  <c r="AL21" i="3"/>
  <c r="P23" i="3"/>
  <c r="Q23" i="3"/>
  <c r="R23" i="3"/>
  <c r="S23" i="3"/>
  <c r="T23" i="3"/>
  <c r="U23" i="3"/>
  <c r="P25" i="3"/>
  <c r="Q25" i="3"/>
  <c r="R25" i="3"/>
  <c r="S25" i="3"/>
  <c r="T25" i="3"/>
  <c r="U25" i="3"/>
  <c r="P27" i="3"/>
  <c r="Q27" i="3"/>
  <c r="R27" i="3"/>
  <c r="S27" i="3"/>
  <c r="T27" i="3"/>
  <c r="U27" i="3"/>
  <c r="P30" i="3"/>
  <c r="Q30" i="3"/>
  <c r="R30" i="3"/>
  <c r="S30" i="3"/>
  <c r="T30" i="3"/>
  <c r="U30" i="3"/>
  <c r="P32" i="3"/>
  <c r="Q32" i="3"/>
  <c r="R32" i="3"/>
  <c r="S32" i="3"/>
  <c r="T32" i="3"/>
  <c r="U32" i="3"/>
  <c r="P34" i="3"/>
  <c r="Q34" i="3"/>
  <c r="R34" i="3"/>
  <c r="S34" i="3"/>
  <c r="T34" i="3"/>
  <c r="U34" i="3"/>
  <c r="P40" i="3"/>
  <c r="Q40" i="3"/>
  <c r="R40" i="3"/>
  <c r="S40" i="3"/>
  <c r="T40" i="3"/>
  <c r="Q41" i="3"/>
  <c r="R41" i="3"/>
  <c r="S41" i="3"/>
  <c r="T41" i="3"/>
  <c r="P43" i="3"/>
  <c r="Q43" i="3"/>
  <c r="R43" i="3"/>
  <c r="S43" i="3"/>
  <c r="T43" i="3"/>
  <c r="P45" i="3"/>
  <c r="Q45" i="3"/>
  <c r="R45" i="3"/>
  <c r="S45" i="3"/>
  <c r="T45" i="3"/>
  <c r="P48" i="3"/>
  <c r="Q48" i="3"/>
  <c r="R48" i="3"/>
  <c r="S48" i="3"/>
  <c r="T48" i="3"/>
  <c r="P57" i="3"/>
  <c r="Q57" i="3"/>
  <c r="R57" i="3"/>
  <c r="S57" i="3"/>
  <c r="T57" i="3"/>
  <c r="Q65" i="3"/>
  <c r="R65" i="3"/>
  <c r="S65" i="3"/>
  <c r="T65" i="3"/>
  <c r="P66" i="3"/>
  <c r="Q66" i="3"/>
  <c r="R66" i="3"/>
  <c r="S66" i="3"/>
  <c r="T66" i="3"/>
  <c r="P69" i="3"/>
  <c r="Q69" i="3"/>
  <c r="R69" i="3"/>
  <c r="S69" i="3"/>
  <c r="T69" i="3"/>
  <c r="P73" i="3"/>
  <c r="Q73" i="3"/>
  <c r="R73" i="3"/>
  <c r="S73" i="3"/>
  <c r="T73" i="3"/>
  <c r="Q75" i="3"/>
  <c r="R75" i="3"/>
  <c r="S75" i="3"/>
  <c r="T75" i="3"/>
  <c r="P76" i="3"/>
  <c r="Q76" i="3"/>
  <c r="R76" i="3"/>
  <c r="S76" i="3"/>
  <c r="T76" i="3"/>
  <c r="P83" i="3"/>
  <c r="Q83" i="3"/>
  <c r="R83" i="3"/>
  <c r="S83" i="3"/>
  <c r="T83" i="3"/>
  <c r="P84" i="3"/>
  <c r="Q84" i="3"/>
  <c r="R84" i="3"/>
  <c r="S84" i="3"/>
  <c r="T84" i="3"/>
  <c r="AH84" i="3"/>
  <c r="AI84" i="3"/>
  <c r="AJ84" i="3"/>
  <c r="AK84" i="3"/>
  <c r="AL84" i="3"/>
  <c r="P88" i="3"/>
  <c r="Q88" i="3"/>
  <c r="R88" i="3"/>
  <c r="S88" i="3"/>
  <c r="T88" i="3"/>
  <c r="Q92" i="3"/>
  <c r="R92" i="3"/>
  <c r="S92" i="3"/>
  <c r="T92" i="3"/>
  <c r="Q94" i="3"/>
  <c r="R94" i="3"/>
  <c r="S94" i="3"/>
  <c r="T94" i="3"/>
  <c r="P96" i="3"/>
  <c r="Q96" i="3"/>
  <c r="R96" i="3"/>
  <c r="S96" i="3"/>
  <c r="T96" i="3"/>
  <c r="P102" i="3"/>
  <c r="Q102" i="3"/>
  <c r="R102" i="3"/>
  <c r="S102" i="3"/>
  <c r="T102" i="3"/>
  <c r="P103" i="3"/>
  <c r="Q103" i="3"/>
  <c r="R103" i="3"/>
  <c r="S103" i="3"/>
  <c r="T103" i="3"/>
  <c r="AH103" i="3"/>
  <c r="AI103" i="3"/>
  <c r="AJ103" i="3"/>
  <c r="AK103" i="3"/>
  <c r="AL103" i="3"/>
  <c r="P105" i="3"/>
  <c r="Q105" i="3"/>
  <c r="R105" i="3"/>
  <c r="S105" i="3"/>
  <c r="T105" i="3"/>
  <c r="P113" i="3"/>
  <c r="Q113" i="3"/>
  <c r="R113" i="3"/>
  <c r="S113" i="3"/>
  <c r="T113" i="3"/>
  <c r="P120" i="3"/>
  <c r="Q120" i="3"/>
  <c r="R120" i="3"/>
  <c r="S120" i="3"/>
  <c r="T120" i="3"/>
  <c r="P123" i="3"/>
  <c r="Q123" i="3"/>
  <c r="R123" i="3"/>
  <c r="S123" i="3"/>
  <c r="T123" i="3"/>
  <c r="P125" i="3"/>
  <c r="Q125" i="3"/>
  <c r="R125" i="3"/>
  <c r="S125" i="3"/>
  <c r="T125" i="3"/>
  <c r="P127" i="3"/>
  <c r="Q127" i="3"/>
  <c r="R127" i="3"/>
  <c r="S127" i="3"/>
  <c r="T127" i="3"/>
  <c r="P129" i="3"/>
  <c r="Q129" i="3"/>
  <c r="R129" i="3"/>
  <c r="S129" i="3"/>
  <c r="T129" i="3"/>
  <c r="AJ146" i="3"/>
  <c r="AK146" i="3"/>
  <c r="AL146" i="3"/>
  <c r="AM146" i="3"/>
  <c r="AN146" i="3"/>
  <c r="AJ147" i="3"/>
  <c r="AK147" i="3"/>
  <c r="AL147" i="3"/>
  <c r="AM147" i="3"/>
  <c r="AN147" i="3"/>
  <c r="Q222" i="3"/>
  <c r="R222" i="3"/>
  <c r="S222" i="3"/>
  <c r="T222" i="3"/>
  <c r="R223" i="3"/>
  <c r="S223" i="3"/>
  <c r="T223" i="3"/>
  <c r="S224" i="3"/>
  <c r="T224" i="3"/>
  <c r="T225" i="3"/>
  <c r="Q231" i="3"/>
  <c r="R231" i="3"/>
  <c r="S231" i="3"/>
  <c r="T231" i="3"/>
  <c r="R232" i="3"/>
  <c r="S232" i="3"/>
  <c r="T232" i="3"/>
  <c r="S233" i="3"/>
  <c r="T233" i="3"/>
  <c r="T234" i="3"/>
  <c r="Q240" i="3"/>
  <c r="R240" i="3"/>
  <c r="S240" i="3"/>
  <c r="T240" i="3"/>
  <c r="Q241" i="3"/>
  <c r="R241" i="3"/>
  <c r="S241" i="3"/>
  <c r="T241" i="3"/>
  <c r="R260" i="3"/>
  <c r="S260" i="3"/>
  <c r="T260" i="3"/>
  <c r="Q263" i="3"/>
  <c r="R263" i="3"/>
  <c r="S263" i="3"/>
  <c r="T263" i="3"/>
  <c r="Q264" i="3"/>
  <c r="R264" i="3"/>
  <c r="S264" i="3"/>
  <c r="T264" i="3"/>
  <c r="Q267" i="3"/>
  <c r="R267" i="3"/>
  <c r="S267" i="3"/>
  <c r="T267" i="3"/>
  <c r="P285" i="3"/>
  <c r="Q285" i="3"/>
  <c r="R285" i="3"/>
  <c r="S285" i="3"/>
  <c r="T285" i="3"/>
  <c r="U285" i="3"/>
  <c r="P286" i="3"/>
  <c r="Q286" i="3"/>
  <c r="R286" i="3"/>
  <c r="S286" i="3"/>
  <c r="T286" i="3"/>
  <c r="U286" i="3"/>
  <c r="E289" i="3"/>
  <c r="P293" i="3"/>
  <c r="Q293" i="3"/>
  <c r="R293" i="3"/>
  <c r="S293" i="3"/>
  <c r="T293" i="3"/>
  <c r="U293" i="3"/>
  <c r="Q294" i="3"/>
  <c r="R294" i="3"/>
  <c r="S294" i="3"/>
  <c r="T294" i="3"/>
  <c r="P296" i="3"/>
  <c r="Q296" i="3"/>
  <c r="R296" i="3"/>
  <c r="S296" i="3"/>
  <c r="T296" i="3"/>
  <c r="U296" i="3"/>
  <c r="P300" i="3"/>
  <c r="Q300" i="3"/>
  <c r="R300" i="3"/>
  <c r="S300" i="3"/>
  <c r="T300" i="3"/>
  <c r="U300" i="3"/>
  <c r="P301" i="3"/>
  <c r="Q301" i="3"/>
  <c r="R301" i="3"/>
  <c r="S301" i="3"/>
  <c r="T301" i="3"/>
  <c r="U301" i="3"/>
  <c r="P302" i="3"/>
  <c r="Q302" i="3"/>
  <c r="R302" i="3"/>
  <c r="S302" i="3"/>
  <c r="T302" i="3"/>
  <c r="U302" i="3"/>
  <c r="Q306" i="3"/>
  <c r="R306" i="3"/>
  <c r="S306" i="3"/>
  <c r="T306" i="3"/>
  <c r="U306" i="3"/>
  <c r="P307" i="3"/>
  <c r="Q307" i="3"/>
  <c r="R307" i="3"/>
  <c r="S307" i="3"/>
  <c r="T307" i="3"/>
  <c r="U307" i="3"/>
  <c r="P308" i="3"/>
  <c r="Q308" i="3"/>
  <c r="R308" i="3"/>
  <c r="S308" i="3"/>
  <c r="T308" i="3"/>
  <c r="U308" i="3"/>
  <c r="P309" i="3"/>
  <c r="Q309" i="3"/>
  <c r="R309" i="3"/>
  <c r="S309" i="3"/>
  <c r="T309" i="3"/>
  <c r="U309" i="3"/>
  <c r="P314" i="3"/>
  <c r="Q314" i="3"/>
  <c r="R314" i="3"/>
  <c r="S314" i="3"/>
  <c r="T314" i="3"/>
  <c r="U314" i="3"/>
  <c r="P315" i="3"/>
  <c r="Q315" i="3"/>
  <c r="R315" i="3"/>
  <c r="S315" i="3"/>
  <c r="T315" i="3"/>
  <c r="U315" i="3"/>
  <c r="P316" i="3"/>
  <c r="Q316" i="3"/>
  <c r="R316" i="3"/>
  <c r="S316" i="3"/>
  <c r="T316" i="3"/>
  <c r="U316" i="3"/>
  <c r="Q328" i="3"/>
  <c r="R328" i="3"/>
  <c r="S328" i="3"/>
  <c r="T328" i="3"/>
  <c r="E331" i="3"/>
  <c r="Q336" i="3"/>
  <c r="R336" i="3"/>
  <c r="S336" i="3"/>
  <c r="T336" i="3"/>
  <c r="Q338" i="3"/>
  <c r="R338" i="3"/>
  <c r="S338" i="3"/>
  <c r="T338" i="3"/>
  <c r="Q342" i="3"/>
  <c r="R342" i="3"/>
  <c r="S342" i="3"/>
  <c r="T342" i="3"/>
  <c r="Q343" i="3"/>
  <c r="R343" i="3"/>
  <c r="S343" i="3"/>
  <c r="T343" i="3"/>
  <c r="U343" i="3"/>
  <c r="Q344" i="3"/>
  <c r="R344" i="3"/>
  <c r="S344" i="3"/>
  <c r="T344" i="3"/>
  <c r="U344" i="3"/>
  <c r="R348" i="3"/>
  <c r="S348" i="3"/>
  <c r="T348" i="3"/>
  <c r="U348" i="3"/>
  <c r="Q350" i="3"/>
  <c r="R350" i="3"/>
  <c r="S350" i="3"/>
  <c r="T350" i="3"/>
  <c r="U350" i="3"/>
  <c r="Q351" i="3"/>
  <c r="R351" i="3"/>
  <c r="S351" i="3"/>
  <c r="T351" i="3"/>
  <c r="U351" i="3"/>
  <c r="Q356" i="3"/>
  <c r="R356" i="3"/>
  <c r="S356" i="3"/>
  <c r="T356" i="3"/>
  <c r="U356" i="3"/>
  <c r="Q357" i="3"/>
  <c r="R357" i="3"/>
  <c r="S357" i="3"/>
  <c r="T357" i="3"/>
  <c r="U357" i="3"/>
  <c r="Q370" i="3"/>
  <c r="R370" i="3"/>
  <c r="S370" i="3"/>
  <c r="T370" i="3"/>
  <c r="U370" i="3"/>
  <c r="P371" i="3"/>
  <c r="Q371" i="3"/>
  <c r="R371" i="3"/>
  <c r="S371" i="3"/>
  <c r="T371" i="3"/>
  <c r="P372" i="3"/>
  <c r="Q372" i="3"/>
  <c r="R372" i="3"/>
  <c r="S372" i="3"/>
  <c r="T372" i="3"/>
  <c r="U372" i="3"/>
  <c r="P375" i="3"/>
  <c r="Q375" i="3"/>
  <c r="R375" i="3"/>
  <c r="S375" i="3"/>
  <c r="T375" i="3"/>
  <c r="U375" i="3"/>
  <c r="Q402" i="3"/>
  <c r="R402" i="3"/>
  <c r="S402" i="3"/>
  <c r="T402" i="3"/>
  <c r="P403" i="3"/>
  <c r="Q403" i="3"/>
  <c r="R403" i="3"/>
  <c r="S403" i="3"/>
  <c r="T403" i="3"/>
  <c r="P404" i="3"/>
  <c r="Q404" i="3"/>
  <c r="R404" i="3"/>
  <c r="S404" i="3"/>
  <c r="T404" i="3"/>
  <c r="P407" i="3"/>
  <c r="Q407" i="3"/>
  <c r="R407" i="3"/>
  <c r="S407" i="3"/>
  <c r="T407" i="3"/>
  <c r="P408" i="3"/>
  <c r="Q408" i="3"/>
  <c r="R408" i="3"/>
  <c r="S408" i="3"/>
  <c r="T408" i="3"/>
  <c r="Q413" i="3"/>
  <c r="R413" i="3"/>
  <c r="S413" i="3"/>
  <c r="T413" i="3"/>
  <c r="P414" i="3"/>
  <c r="Q414" i="3"/>
  <c r="R414" i="3"/>
  <c r="S414" i="3"/>
  <c r="T414" i="3"/>
  <c r="P415" i="3"/>
  <c r="Q415" i="3"/>
  <c r="R415" i="3"/>
  <c r="S415" i="3"/>
  <c r="T415" i="3"/>
  <c r="Q418" i="3"/>
  <c r="R418" i="3"/>
  <c r="S418" i="3"/>
  <c r="T418" i="3"/>
  <c r="P422" i="3"/>
  <c r="Q422" i="3"/>
  <c r="R422" i="3"/>
  <c r="S422" i="3"/>
  <c r="T422" i="3"/>
  <c r="U422" i="3"/>
  <c r="Q423" i="3"/>
  <c r="R423" i="3"/>
  <c r="S423" i="3"/>
  <c r="T423" i="3"/>
  <c r="P424" i="3"/>
  <c r="Q424" i="3"/>
  <c r="R424" i="3"/>
  <c r="S424" i="3"/>
  <c r="T424" i="3"/>
  <c r="U424" i="3"/>
  <c r="P436" i="3"/>
  <c r="Q436" i="3"/>
  <c r="R436" i="3"/>
  <c r="S436" i="3"/>
  <c r="T436" i="3"/>
  <c r="P438" i="3"/>
  <c r="Q438" i="3"/>
  <c r="R438" i="3"/>
  <c r="S438" i="3"/>
  <c r="T438" i="3"/>
  <c r="Q443" i="3"/>
  <c r="R443" i="3"/>
  <c r="S443" i="3"/>
  <c r="T443" i="3"/>
  <c r="P444" i="3"/>
  <c r="Q444" i="3"/>
  <c r="R444" i="3"/>
  <c r="S444" i="3"/>
  <c r="T444" i="3"/>
  <c r="P445" i="3"/>
  <c r="Q445" i="3"/>
  <c r="R445" i="3"/>
  <c r="S445" i="3"/>
  <c r="T445" i="3"/>
  <c r="P447" i="3"/>
  <c r="Q447" i="3"/>
  <c r="R447" i="3"/>
  <c r="S447" i="3"/>
  <c r="T447" i="3"/>
  <c r="Q461" i="3"/>
  <c r="R461" i="3"/>
  <c r="S461" i="3"/>
  <c r="T461" i="3"/>
  <c r="U461" i="3"/>
  <c r="H462" i="3"/>
  <c r="P462" i="3"/>
  <c r="Q462" i="3"/>
  <c r="R462" i="3"/>
  <c r="S462" i="3"/>
  <c r="T462" i="3"/>
  <c r="U462" i="3"/>
  <c r="P463" i="3"/>
  <c r="Q463" i="3"/>
  <c r="R463" i="3"/>
  <c r="S463" i="3"/>
  <c r="T463" i="3"/>
  <c r="U463" i="3"/>
  <c r="Q470" i="3"/>
  <c r="R470" i="3"/>
  <c r="S470" i="3"/>
  <c r="T470" i="3"/>
  <c r="U470" i="3"/>
  <c r="Q471" i="3"/>
  <c r="R471" i="3"/>
  <c r="S471" i="3"/>
  <c r="T471" i="3"/>
  <c r="Q474" i="3"/>
  <c r="R474" i="3"/>
  <c r="S474" i="3"/>
  <c r="T474" i="3"/>
  <c r="U474" i="3"/>
  <c r="P477" i="3"/>
  <c r="Q477" i="3"/>
  <c r="R477" i="3"/>
  <c r="S477" i="3"/>
  <c r="T477" i="3"/>
  <c r="U477" i="3"/>
  <c r="P479" i="3"/>
  <c r="Q479" i="3"/>
  <c r="R479" i="3"/>
  <c r="S479" i="3"/>
  <c r="T479" i="3"/>
  <c r="U479" i="3"/>
  <c r="P480" i="3"/>
  <c r="Q480" i="3"/>
  <c r="R480" i="3"/>
  <c r="S480" i="3"/>
  <c r="T480" i="3"/>
  <c r="U480" i="3"/>
  <c r="P481" i="3"/>
  <c r="Q481" i="3"/>
  <c r="R481" i="3"/>
  <c r="S481" i="3"/>
  <c r="T481" i="3"/>
  <c r="U481" i="3"/>
  <c r="Q482" i="3"/>
  <c r="R482" i="3"/>
  <c r="S482" i="3"/>
  <c r="T482" i="3"/>
  <c r="P485" i="3"/>
  <c r="Q485" i="3"/>
  <c r="R485" i="3"/>
  <c r="S485" i="3"/>
  <c r="T485" i="3"/>
  <c r="U485" i="3"/>
  <c r="Q498" i="3"/>
  <c r="R498" i="3"/>
  <c r="S498" i="3"/>
  <c r="T498" i="3"/>
  <c r="U498" i="3"/>
  <c r="Q502" i="3"/>
  <c r="R502" i="3"/>
  <c r="S502" i="3"/>
  <c r="T502" i="3"/>
  <c r="T503" i="3"/>
  <c r="Q504" i="3"/>
  <c r="R504" i="3"/>
  <c r="S504" i="3"/>
  <c r="T504" i="3"/>
  <c r="Q509" i="3"/>
  <c r="R509" i="3"/>
  <c r="S509" i="3"/>
  <c r="T509" i="3"/>
  <c r="T510" i="3"/>
  <c r="Q511" i="3"/>
  <c r="R511" i="3"/>
  <c r="S511" i="3"/>
  <c r="T511" i="3"/>
  <c r="Q516" i="3"/>
  <c r="R516" i="3"/>
  <c r="S516" i="3"/>
  <c r="T516" i="3"/>
  <c r="T517" i="3"/>
  <c r="Q518" i="3"/>
  <c r="R518" i="3"/>
  <c r="S518" i="3"/>
  <c r="T518" i="3"/>
  <c r="O523" i="3"/>
  <c r="S523" i="3"/>
  <c r="T523" i="3"/>
  <c r="O524" i="3"/>
  <c r="S524" i="3"/>
  <c r="T524" i="3"/>
  <c r="S525" i="3"/>
  <c r="T525" i="3"/>
  <c r="Y528" i="3"/>
  <c r="O529" i="3"/>
  <c r="T529" i="3"/>
  <c r="Y529" i="3"/>
  <c r="Y530" i="3"/>
  <c r="O531" i="3"/>
  <c r="T531" i="3"/>
  <c r="D546" i="3"/>
  <c r="H573" i="3"/>
  <c r="I573" i="3"/>
  <c r="H574" i="3"/>
  <c r="I574" i="3"/>
  <c r="H575" i="3"/>
  <c r="I575" i="3"/>
  <c r="C8" i="7"/>
  <c r="M29" i="7"/>
  <c r="M30" i="7"/>
</calcChain>
</file>

<file path=xl/sharedStrings.xml><?xml version="1.0" encoding="utf-8"?>
<sst xmlns="http://schemas.openxmlformats.org/spreadsheetml/2006/main" count="1312" uniqueCount="647">
  <si>
    <t>Balance Sheet</t>
  </si>
  <si>
    <t>Current Assets</t>
  </si>
  <si>
    <t>Cash and Cash equivalents</t>
  </si>
  <si>
    <t>Investment in Marketable Financial instruments</t>
  </si>
  <si>
    <t>Accounts Receivables</t>
  </si>
  <si>
    <t>Inventories</t>
  </si>
  <si>
    <t>Other Current Assets</t>
  </si>
  <si>
    <t>Total Current Assets</t>
  </si>
  <si>
    <t>all figures in millions of New Taiwan Dollors NTD</t>
  </si>
  <si>
    <t>Non Current Assets</t>
  </si>
  <si>
    <t>Long term investments</t>
  </si>
  <si>
    <t>PPE</t>
  </si>
  <si>
    <t>ROU, Intangible and Other Non Current Assets</t>
  </si>
  <si>
    <t>Total Non Current Assets</t>
  </si>
  <si>
    <t>Total Assets</t>
  </si>
  <si>
    <t>Current liabilities</t>
  </si>
  <si>
    <t>Account Payable</t>
  </si>
  <si>
    <t>paybles to Contractors and Equipment Suppliers</t>
  </si>
  <si>
    <t>Cash Dividends Payable</t>
  </si>
  <si>
    <t>Accrued Expenses and Other Current Liabilities</t>
  </si>
  <si>
    <t xml:space="preserve">Current Portion of Bonds Payable and Bank loans </t>
  </si>
  <si>
    <t>Non Current Liabilities</t>
  </si>
  <si>
    <t>Bonds Payable</t>
  </si>
  <si>
    <t>Other Non Current Liabilities</t>
  </si>
  <si>
    <t>Total Non Current Liabilities</t>
  </si>
  <si>
    <t>Total Current Liabilities</t>
  </si>
  <si>
    <t>Total Liabilities</t>
  </si>
  <si>
    <t>Equity Attributable to the Shareholders of Parent</t>
  </si>
  <si>
    <t xml:space="preserve">Capital Stock at Par </t>
  </si>
  <si>
    <t>Capital Surplus</t>
  </si>
  <si>
    <t>Legal Capital Reserve</t>
  </si>
  <si>
    <t>Special Capital Reserve</t>
  </si>
  <si>
    <t>Other</t>
  </si>
  <si>
    <t>NCI</t>
  </si>
  <si>
    <t>Total Equity</t>
  </si>
  <si>
    <t>Total Liabilities+Shareholder's Equity</t>
  </si>
  <si>
    <t>Balance check</t>
  </si>
  <si>
    <t>Net Revenue</t>
  </si>
  <si>
    <t>Income Statement</t>
  </si>
  <si>
    <t>Cost of Revenue</t>
  </si>
  <si>
    <t>Gross Profit</t>
  </si>
  <si>
    <t>Operating Expenses</t>
  </si>
  <si>
    <t>R&amp;D Expenses</t>
  </si>
  <si>
    <t>SG&amp;A Eapenses</t>
  </si>
  <si>
    <t>Total Operating Expenses</t>
  </si>
  <si>
    <t>Other operating Income and Expenses</t>
  </si>
  <si>
    <t>Income from Operations</t>
  </si>
  <si>
    <t>Non operating Income and Expenses</t>
  </si>
  <si>
    <t xml:space="preserve">Share of Profits and Associated </t>
  </si>
  <si>
    <t>Other gains and Losses</t>
  </si>
  <si>
    <t>Total Non Operating Income and Expenses</t>
  </si>
  <si>
    <t>Net interest Income (Expenses)</t>
  </si>
  <si>
    <t>Income before Income Taxes</t>
  </si>
  <si>
    <t>Income Tax Expenses</t>
  </si>
  <si>
    <t>Net Income</t>
  </si>
  <si>
    <t>Comprehensive Income</t>
  </si>
  <si>
    <t xml:space="preserve">net income (losses) attributable to shareholder of the parent </t>
  </si>
  <si>
    <t>Cash from Operating Activities</t>
  </si>
  <si>
    <t xml:space="preserve">Cash flow Statement </t>
  </si>
  <si>
    <t>Income Before Income Tax</t>
  </si>
  <si>
    <t>D&amp;A</t>
  </si>
  <si>
    <t>Share of Profits of Associates</t>
  </si>
  <si>
    <t>Income Taxes Paid</t>
  </si>
  <si>
    <t>changes in working Capital &amp; Others</t>
  </si>
  <si>
    <t>Net Cash from Operating Activities</t>
  </si>
  <si>
    <t>Cash Flow From Investing Activities</t>
  </si>
  <si>
    <t>Interest Received</t>
  </si>
  <si>
    <t>Cash Dividend Received</t>
  </si>
  <si>
    <t>Acquisitions of :</t>
  </si>
  <si>
    <t>Marketable Financial Instruments</t>
  </si>
  <si>
    <t>Proceeds from Disposal or Redemption of:</t>
  </si>
  <si>
    <t>Others</t>
  </si>
  <si>
    <t>Net Cash from Investing Activities</t>
  </si>
  <si>
    <t>Cash Flow from Financing Activities</t>
  </si>
  <si>
    <t>Proceeds from issuance of Bonds</t>
  </si>
  <si>
    <t>Repayments of Bonds</t>
  </si>
  <si>
    <t>Proceeds from Long Term bank Loans</t>
  </si>
  <si>
    <t>Repayments of Long Term Bank Loans</t>
  </si>
  <si>
    <t>Interest paid</t>
  </si>
  <si>
    <t xml:space="preserve">Cash Dividends Paid for Common Stock </t>
  </si>
  <si>
    <t>others</t>
  </si>
  <si>
    <t>Net Cash from Financing Activities</t>
  </si>
  <si>
    <t xml:space="preserve">Effect of Exchange Rate Changes </t>
  </si>
  <si>
    <t>net Increase in Cash and Cash Equivalents</t>
  </si>
  <si>
    <t xml:space="preserve">Cash and Cash Equivalents at Beginning of Period </t>
  </si>
  <si>
    <t>Cash and Cash Equivalents at End od Period</t>
  </si>
  <si>
    <t>Unappropriated Earnings</t>
  </si>
  <si>
    <t>Other Comprehesive Income (Losses)</t>
  </si>
  <si>
    <t>Repurchases of Tresury Stock</t>
  </si>
  <si>
    <t>Increase (Decrease) in Hedging Financial Liabilities - Bank Loans</t>
  </si>
  <si>
    <t xml:space="preserve"> </t>
  </si>
  <si>
    <t>Actuals</t>
  </si>
  <si>
    <t>Forecasts</t>
  </si>
  <si>
    <t>Tresury Stock</t>
  </si>
  <si>
    <t>Revenue Schedule</t>
  </si>
  <si>
    <t xml:space="preserve">Samsung Electronics </t>
  </si>
  <si>
    <t>Intel Corporation</t>
  </si>
  <si>
    <t>Gloabal Foundaries Inc</t>
  </si>
  <si>
    <t>Debt</t>
  </si>
  <si>
    <t>Equity</t>
  </si>
  <si>
    <t>Profitability and Return Ratios</t>
  </si>
  <si>
    <t>Return on Equity</t>
  </si>
  <si>
    <t>=</t>
  </si>
  <si>
    <t>Return on Assets</t>
  </si>
  <si>
    <t>Return on Net Assets</t>
  </si>
  <si>
    <t>PP&amp;E plus Net Working Capital</t>
  </si>
  <si>
    <t>Return on Invested Capital</t>
  </si>
  <si>
    <t>NOPAT</t>
  </si>
  <si>
    <t>Invested Capital</t>
  </si>
  <si>
    <t>Gross Margin</t>
  </si>
  <si>
    <t>SG&amp;A</t>
  </si>
  <si>
    <t>Check</t>
  </si>
  <si>
    <t>Depreciation % of Revenue</t>
  </si>
  <si>
    <t>Depreciation</t>
  </si>
  <si>
    <t>EBIT Margin</t>
  </si>
  <si>
    <t>EBIT</t>
  </si>
  <si>
    <t>EBT Margin</t>
  </si>
  <si>
    <t>Earning Before Tax</t>
  </si>
  <si>
    <t>Tax % of Revenue</t>
  </si>
  <si>
    <t>Tax</t>
  </si>
  <si>
    <t>Net Profit Margin</t>
  </si>
  <si>
    <t>Revenue</t>
  </si>
  <si>
    <t>Effective Tax Rate</t>
  </si>
  <si>
    <t>Tax Burden</t>
  </si>
  <si>
    <t>Interest Expense</t>
  </si>
  <si>
    <t>Total Interest Bearing Liabilities</t>
  </si>
  <si>
    <t>Interest Burden</t>
  </si>
  <si>
    <t>Asset Utilization Ratios</t>
  </si>
  <si>
    <t>Asset Turnover</t>
  </si>
  <si>
    <t>PPE Turnover</t>
  </si>
  <si>
    <t>Cash Turnover</t>
  </si>
  <si>
    <t>Cash</t>
  </si>
  <si>
    <t>Cash Days</t>
  </si>
  <si>
    <t>Cash x 365</t>
  </si>
  <si>
    <t>A/R Turnover</t>
  </si>
  <si>
    <t>Accounts Receivable</t>
  </si>
  <si>
    <t>A/R Days</t>
  </si>
  <si>
    <t>Accounts Receivable x 365</t>
  </si>
  <si>
    <t>Inventory Turnover</t>
  </si>
  <si>
    <t>Inventory</t>
  </si>
  <si>
    <t>Inventory Days</t>
  </si>
  <si>
    <t>Inventory x 365</t>
  </si>
  <si>
    <t>A/P Turnover</t>
  </si>
  <si>
    <t>COGS</t>
  </si>
  <si>
    <t>Accounts Payable</t>
  </si>
  <si>
    <t>A/P Days</t>
  </si>
  <si>
    <t>Accounts Payable x 365</t>
  </si>
  <si>
    <t>Cash Conversion Cycle / WC Funding Gap</t>
  </si>
  <si>
    <t>AR Days + Inventory Days - AP Days</t>
  </si>
  <si>
    <t>Leverage Ratios</t>
  </si>
  <si>
    <t>Total Asset to Equity</t>
  </si>
  <si>
    <t>Total Liabilities to Equity</t>
  </si>
  <si>
    <t>Debt to Equity</t>
  </si>
  <si>
    <t>Interest Bearing Liabilities Only</t>
  </si>
  <si>
    <t>Liquidity Ratios</t>
  </si>
  <si>
    <t>Current</t>
  </si>
  <si>
    <t>Current Liabilities</t>
  </si>
  <si>
    <t>Quick</t>
  </si>
  <si>
    <t>Current Assets - Inventory</t>
  </si>
  <si>
    <t>Growth Trends</t>
  </si>
  <si>
    <t>Revenue Growth</t>
  </si>
  <si>
    <t>Change in Revenues</t>
  </si>
  <si>
    <t>Prior Year Revenues</t>
  </si>
  <si>
    <t>EBIT Growth</t>
  </si>
  <si>
    <t>Change in EBIT</t>
  </si>
  <si>
    <t>Prior Year EBIT</t>
  </si>
  <si>
    <t>Net Income Growth</t>
  </si>
  <si>
    <t>Change in Net Income</t>
  </si>
  <si>
    <t>Prior Year Net Income</t>
  </si>
  <si>
    <t>Total Asset Growth</t>
  </si>
  <si>
    <t>Change in Total Assets</t>
  </si>
  <si>
    <t>Prior Year Total Assets</t>
  </si>
  <si>
    <t>Degree of Operating Leverage</t>
  </si>
  <si>
    <t xml:space="preserve"> Percentage Change in EBIT</t>
  </si>
  <si>
    <t>Percentage Change in Revenue</t>
  </si>
  <si>
    <t>Degree of Financial Leverage</t>
  </si>
  <si>
    <t>Percentage Change in Net Income</t>
  </si>
  <si>
    <t>Percentage Change in EBIT</t>
  </si>
  <si>
    <t>Degree of Total Leverage</t>
  </si>
  <si>
    <t>DuPont Pyramid 3 Step Check</t>
  </si>
  <si>
    <t>Total Assets to Equity</t>
  </si>
  <si>
    <t>Equals Return on Equity</t>
  </si>
  <si>
    <t>Net Profit Margin x Asset Turn x Asset to Equity</t>
  </si>
  <si>
    <t>DuPont Pyramid 5 Step Check</t>
  </si>
  <si>
    <t>Tax Burden x Interest Burden x EBIT Margin</t>
  </si>
  <si>
    <t>x Asset Turn x Asset to Equity</t>
  </si>
  <si>
    <t>Interest Bearing Current Liabilities</t>
  </si>
  <si>
    <t>Interest Bearing Long Term Liabilities</t>
  </si>
  <si>
    <t>Net Debt</t>
  </si>
  <si>
    <t>Invested Capital (aka Capital Employed)</t>
  </si>
  <si>
    <t>Long Term Assets</t>
  </si>
  <si>
    <t>Non Interest Bearing Current Liabilities</t>
  </si>
  <si>
    <t>Net Assets</t>
  </si>
  <si>
    <t>Net operating Profit After Tax</t>
  </si>
  <si>
    <t>Net Interest Income % EBIT</t>
  </si>
  <si>
    <t>Net Interest Income</t>
  </si>
  <si>
    <t xml:space="preserve">Revenue by Technology </t>
  </si>
  <si>
    <t>3nm</t>
  </si>
  <si>
    <t>5nm</t>
  </si>
  <si>
    <t>7nm</t>
  </si>
  <si>
    <t>16/17nm</t>
  </si>
  <si>
    <t>28nm</t>
  </si>
  <si>
    <t>40/45nm</t>
  </si>
  <si>
    <t>65nm</t>
  </si>
  <si>
    <t>90nm</t>
  </si>
  <si>
    <t>0.11/0.13um</t>
  </si>
  <si>
    <t>0.15/0.18um</t>
  </si>
  <si>
    <t>0.25um and above</t>
  </si>
  <si>
    <t>Revenue by Technology</t>
  </si>
  <si>
    <t>HPC</t>
  </si>
  <si>
    <t>Smartphone</t>
  </si>
  <si>
    <t>IoT</t>
  </si>
  <si>
    <t>Automotive</t>
  </si>
  <si>
    <t>DCE</t>
  </si>
  <si>
    <t>Total Revenue</t>
  </si>
  <si>
    <t>Total Rev</t>
  </si>
  <si>
    <t>Revenue Growth Rate</t>
  </si>
  <si>
    <t>Cost Schedule</t>
  </si>
  <si>
    <t>Cost of Goods Sold</t>
  </si>
  <si>
    <t>COGS % Rev</t>
  </si>
  <si>
    <t>R&amp;D</t>
  </si>
  <si>
    <t>SG&amp;A % Rev</t>
  </si>
  <si>
    <t>R&amp;D % Rev</t>
  </si>
  <si>
    <t>Working Capital Schedule</t>
  </si>
  <si>
    <t>Days in Period</t>
  </si>
  <si>
    <t>Cost of Sales</t>
  </si>
  <si>
    <t>Accounts Recievables Days</t>
  </si>
  <si>
    <t>Invetory Days</t>
  </si>
  <si>
    <t>Accounts Payable Days</t>
  </si>
  <si>
    <t>Total Amounts</t>
  </si>
  <si>
    <t>Accounts Recievables</t>
  </si>
  <si>
    <t>Invetory</t>
  </si>
  <si>
    <t>Accounts payable</t>
  </si>
  <si>
    <t>Cash Changes</t>
  </si>
  <si>
    <t>Cash From Working Capital Items</t>
  </si>
  <si>
    <t>Revenue Growth by Technology</t>
  </si>
  <si>
    <t>Depreciation Schedule</t>
  </si>
  <si>
    <t>Total CapEx</t>
  </si>
  <si>
    <r>
      <t xml:space="preserve">Existing Assets </t>
    </r>
    <r>
      <rPr>
        <vertAlign val="superscript"/>
        <sz val="10"/>
        <rFont val="Open Sans"/>
        <family val="2"/>
      </rPr>
      <t>1</t>
    </r>
  </si>
  <si>
    <t>Useful life</t>
  </si>
  <si>
    <t xml:space="preserve">PP&amp;E </t>
  </si>
  <si>
    <r>
      <t xml:space="preserve">New Assets </t>
    </r>
    <r>
      <rPr>
        <vertAlign val="superscript"/>
        <sz val="10"/>
        <rFont val="Open Sans"/>
        <family val="2"/>
      </rPr>
      <t>1</t>
    </r>
  </si>
  <si>
    <t>useful life</t>
  </si>
  <si>
    <t>Life</t>
  </si>
  <si>
    <t>Amounts for Depreciation</t>
  </si>
  <si>
    <t>Capex</t>
  </si>
  <si>
    <r>
      <t xml:space="preserve">Total Asset Depreciation </t>
    </r>
    <r>
      <rPr>
        <vertAlign val="superscript"/>
        <sz val="10"/>
        <rFont val="Open Sans"/>
        <family val="2"/>
      </rPr>
      <t>2</t>
    </r>
  </si>
  <si>
    <t>Existing Assets</t>
  </si>
  <si>
    <t>New Assets</t>
  </si>
  <si>
    <t>Total Depreciation</t>
  </si>
  <si>
    <t xml:space="preserve">PP&amp;E is adjusted for land and construction in progress and all capital expenditure is assumed depreciable. </t>
  </si>
  <si>
    <t xml:space="preserve">This schedule calculates depreciation on a straight-line basis. </t>
  </si>
  <si>
    <t>Quarter</t>
  </si>
  <si>
    <t>Per Quarter</t>
  </si>
  <si>
    <t>Percent of Full Quarter</t>
  </si>
  <si>
    <t>land</t>
  </si>
  <si>
    <t>buildings</t>
  </si>
  <si>
    <t>machinery &amp; equipments</t>
  </si>
  <si>
    <t>office equipments</t>
  </si>
  <si>
    <t>cip</t>
  </si>
  <si>
    <t>Asset Schedule</t>
  </si>
  <si>
    <t>Capital Expenditure</t>
  </si>
  <si>
    <t xml:space="preserve">First Year Tax Depreciation </t>
  </si>
  <si>
    <t>Blended tax Depreciation Rate</t>
  </si>
  <si>
    <r>
      <t xml:space="preserve">Property, Plant &amp; Equipment </t>
    </r>
    <r>
      <rPr>
        <vertAlign val="superscript"/>
        <sz val="10"/>
        <rFont val="Open Sans"/>
        <family val="2"/>
      </rPr>
      <t>1</t>
    </r>
  </si>
  <si>
    <t>Beginning Net PPE</t>
  </si>
  <si>
    <t>Disposals</t>
  </si>
  <si>
    <t>Accounting Depreciation</t>
  </si>
  <si>
    <t>Ending Net PPE</t>
  </si>
  <si>
    <t>Good will</t>
  </si>
  <si>
    <t>Total PPE and Goodwill</t>
  </si>
  <si>
    <r>
      <t xml:space="preserve">Tax Basis </t>
    </r>
    <r>
      <rPr>
        <vertAlign val="superscript"/>
        <sz val="10"/>
        <rFont val="Open Sans"/>
        <family val="2"/>
      </rPr>
      <t>1</t>
    </r>
  </si>
  <si>
    <t>Tax Depreciation</t>
  </si>
  <si>
    <t xml:space="preserve">Model assumes no dispositions that would impact the PP&amp;E or the Tax Basis. </t>
  </si>
  <si>
    <t>goodwill</t>
  </si>
  <si>
    <t>Earnings Before Tax (EBT)</t>
  </si>
  <si>
    <t>Profitable Before Taxes?</t>
  </si>
  <si>
    <t>Tax Rate</t>
  </si>
  <si>
    <t>Unused Tax Losses Remaining?</t>
  </si>
  <si>
    <t>Adjustment for Depreciation</t>
  </si>
  <si>
    <t>EBT</t>
  </si>
  <si>
    <t>Add: Accounting Depreciation</t>
  </si>
  <si>
    <t>Less: Tax Depreciation</t>
  </si>
  <si>
    <t>EBT After Adjustment</t>
  </si>
  <si>
    <r>
      <t>Adjustment for Tax Losses</t>
    </r>
    <r>
      <rPr>
        <b/>
        <vertAlign val="superscript"/>
        <sz val="10"/>
        <rFont val="Open Sans"/>
        <family val="2"/>
      </rPr>
      <t>1</t>
    </r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</si>
  <si>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</si>
  <si>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>Taxable Income</t>
  </si>
  <si>
    <t>Tax Losses</t>
  </si>
  <si>
    <t>Beginning</t>
  </si>
  <si>
    <t>Add: New Losses</t>
  </si>
  <si>
    <t>Less: Use of Tax Losses</t>
  </si>
  <si>
    <t>Ending</t>
  </si>
  <si>
    <t>Taxes</t>
  </si>
  <si>
    <t>Current Taxes</t>
  </si>
  <si>
    <t>Deferred Taxes</t>
  </si>
  <si>
    <t>Total Taxes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</si>
  <si>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</si>
  <si>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</si>
  <si>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>Income tax Schedule (Levered)</t>
  </si>
  <si>
    <t>Earnings Before Interest Tax (EBIT)</t>
  </si>
  <si>
    <t>interest income as % of rev</t>
  </si>
  <si>
    <t>UFCF Schedule</t>
  </si>
  <si>
    <t>Tax Shield from Interest</t>
  </si>
  <si>
    <t>Current Taxes (Unlevered)</t>
  </si>
  <si>
    <t>Current Taxes (Levered)</t>
  </si>
  <si>
    <t>Total tax Shield</t>
  </si>
  <si>
    <t>(-) CapEx</t>
  </si>
  <si>
    <t>Unlevered Free Cash Flow</t>
  </si>
  <si>
    <t>EBIT Method</t>
  </si>
  <si>
    <t>(-) (1-Taxrate)</t>
  </si>
  <si>
    <t>(+) D&amp;A</t>
  </si>
  <si>
    <t>(-) Change in Working Capital</t>
  </si>
  <si>
    <t>Income tax Schedule (Unevered)</t>
  </si>
  <si>
    <t>Term</t>
  </si>
  <si>
    <t>(-) Tax Shield</t>
  </si>
  <si>
    <t>(-) Net Interest Income</t>
  </si>
  <si>
    <t>Adjusted EBT or NOPAT Method</t>
  </si>
  <si>
    <t>(-) Share of Profits of Associates</t>
  </si>
  <si>
    <t>UFCF Perpetuity Growth Method</t>
  </si>
  <si>
    <t>Terminal Growth</t>
  </si>
  <si>
    <t>Valuation</t>
  </si>
  <si>
    <t>Discrete Forecast</t>
  </si>
  <si>
    <t>WACC</t>
  </si>
  <si>
    <t>(DD-MM-YY)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</si>
  <si>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</si>
  <si>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</si>
  <si>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</si>
  <si>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</si>
  <si>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</si>
  <si>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</si>
  <si>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</si>
  <si>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</si>
  <si>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</si>
  <si>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</si>
  <si>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PV of Discrete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</si>
  <si>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</si>
  <si>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PV of Terminal</t>
  </si>
  <si>
    <t>Equity Value</t>
  </si>
  <si>
    <t>Equity Value Per Share</t>
  </si>
  <si>
    <t>Shares Outstanding</t>
  </si>
  <si>
    <t>($/sh)</t>
  </si>
  <si>
    <t>Add: Net Cash</t>
  </si>
  <si>
    <t>Treasury Stock</t>
  </si>
  <si>
    <t>KRX</t>
  </si>
  <si>
    <t>NASDAQ</t>
  </si>
  <si>
    <t>TWSE</t>
  </si>
  <si>
    <t>INTC</t>
  </si>
  <si>
    <t>GFS</t>
  </si>
  <si>
    <t>005930</t>
  </si>
  <si>
    <t>Ticker</t>
  </si>
  <si>
    <t>Exchange</t>
  </si>
  <si>
    <t>Currency</t>
  </si>
  <si>
    <t>KRW</t>
  </si>
  <si>
    <t>USD</t>
  </si>
  <si>
    <t>TWD</t>
  </si>
  <si>
    <t>Average</t>
  </si>
  <si>
    <t>Levered</t>
  </si>
  <si>
    <t>Unlevered</t>
  </si>
  <si>
    <t>Capital</t>
  </si>
  <si>
    <t>Name</t>
  </si>
  <si>
    <t>Median</t>
  </si>
  <si>
    <t>Risk Premium for Equity</t>
  </si>
  <si>
    <t>Cost of Equity</t>
  </si>
  <si>
    <t>Market Risk Premium</t>
  </si>
  <si>
    <t>Risk Free Rate</t>
  </si>
  <si>
    <t>Average Unlevered Beta</t>
  </si>
  <si>
    <t>Equity Risk Premium</t>
  </si>
  <si>
    <r>
      <t xml:space="preserve">Levered Beta </t>
    </r>
    <r>
      <rPr>
        <vertAlign val="superscript"/>
        <sz val="10"/>
        <color rgb="FF000000"/>
        <rFont val="Open Sans"/>
        <family val="2"/>
      </rPr>
      <t>4</t>
    </r>
  </si>
  <si>
    <t>Country Risk Premium</t>
  </si>
  <si>
    <t>Capital Structure</t>
  </si>
  <si>
    <t>Cost of Debt</t>
  </si>
  <si>
    <t>Target</t>
  </si>
  <si>
    <t>Total Debt</t>
  </si>
  <si>
    <t>Pre-Tax Cost of Debt</t>
  </si>
  <si>
    <t>Market Capitalization</t>
  </si>
  <si>
    <t>Total Capitalization</t>
  </si>
  <si>
    <t>After-Tax Cost of Debt</t>
  </si>
  <si>
    <t>Debt / Equity</t>
  </si>
  <si>
    <t>NOTE:</t>
  </si>
  <si>
    <t>Weighted Average Cost of Capital</t>
  </si>
  <si>
    <t xml:space="preserve">Tax Rate is a 5-Year Average. </t>
  </si>
  <si>
    <t>Weight</t>
  </si>
  <si>
    <t>Cost</t>
  </si>
  <si>
    <t xml:space="preserve">Levered beta is based on 5-year monthly data. </t>
  </si>
  <si>
    <t>Debt Capital</t>
  </si>
  <si>
    <t xml:space="preserve">Unlevered Beta = Levered Beta / (1 + (1 - Tax Rate) × Debt-to-Equity) </t>
  </si>
  <si>
    <t>Equity Capital</t>
  </si>
  <si>
    <t xml:space="preserve">Levered Beta = Unlevered Beta x (1 + (1 - Tax rate) x (Debt-to-Equity)) </t>
  </si>
  <si>
    <t>10Y Taiwan Govt Bond Yield</t>
  </si>
  <si>
    <t>Equity Risk Premium :  6.2% adjusted for regional equity market volatility compared to local fixed income</t>
  </si>
  <si>
    <t>MRP : using local appraoch5.5% to 6% The baseline mature-market risk premium evaluated globally, reflecting localized risk parameters mapped across East Asian tech hubs</t>
  </si>
  <si>
    <t>using Global Appoarch : Mature US base 4.3% + Country risk Premium taiwan's 0.78% making it around 5.1%</t>
  </si>
  <si>
    <t>Terminal Growth Rate</t>
  </si>
  <si>
    <t>Semiconductor Manufacturing International Corp</t>
  </si>
  <si>
    <t>CNY</t>
  </si>
  <si>
    <t>Quarter End</t>
  </si>
  <si>
    <t>Quarterly Adjustment</t>
  </si>
  <si>
    <t>TGR</t>
  </si>
  <si>
    <t>Share of Profit as % Rev</t>
  </si>
  <si>
    <t>PPE as % of CapEx</t>
  </si>
  <si>
    <t>Long Term Investment as % of Rev</t>
  </si>
  <si>
    <t>interst income as % of Cash and equivalents</t>
  </si>
  <si>
    <t>ROU, Intangible &amp; ONC Assets % Rev</t>
  </si>
  <si>
    <t>Other Current Assets as % of Rev</t>
  </si>
  <si>
    <t>Investments in Marketable Fin Instruments</t>
  </si>
  <si>
    <t>as % of Cash and equivalents</t>
  </si>
  <si>
    <t>Debt Schedule Part 1</t>
  </si>
  <si>
    <t>Beginning Balance</t>
  </si>
  <si>
    <t>Increase / (Decrease)</t>
  </si>
  <si>
    <t>Ending Balance</t>
  </si>
  <si>
    <t>Interest Rate</t>
  </si>
  <si>
    <t>Interest Income</t>
  </si>
  <si>
    <t>Debt Schedule Part 2</t>
  </si>
  <si>
    <t>Available Cash</t>
  </si>
  <si>
    <t>Beginning Cash Balance</t>
  </si>
  <si>
    <t>Cash from Operations</t>
  </si>
  <si>
    <t>Cash from Investing</t>
  </si>
  <si>
    <t>Change in Long-Term Debt</t>
  </si>
  <si>
    <t>Change in Common Equity</t>
  </si>
  <si>
    <t>Dividends</t>
  </si>
  <si>
    <t>Cash Available for Revolving Credit Line</t>
  </si>
  <si>
    <t>Revolving Credit Line</t>
  </si>
  <si>
    <t>Less: Interest Expense</t>
  </si>
  <si>
    <t>Equity Schedule</t>
  </si>
  <si>
    <t>Common Equity</t>
  </si>
  <si>
    <t>Net Income to parent</t>
  </si>
  <si>
    <t>Payout Ratio</t>
  </si>
  <si>
    <t>Dividend</t>
  </si>
  <si>
    <t>Retained Earnings</t>
  </si>
  <si>
    <t>Net Income  to Parent</t>
  </si>
  <si>
    <t>Buybacks</t>
  </si>
  <si>
    <t>No Information on Buybacks</t>
  </si>
  <si>
    <t>Based on previous years Trend</t>
  </si>
  <si>
    <t>Payables to Contractors and equipment suppliers</t>
  </si>
  <si>
    <t xml:space="preserve">drivers COGS and CapEx </t>
  </si>
  <si>
    <t>Days Payable Outstanding</t>
  </si>
  <si>
    <t>As % of Total Assets</t>
  </si>
  <si>
    <t xml:space="preserve">Bonds </t>
  </si>
  <si>
    <t>Legal Capital Reserves have been kept constant</t>
  </si>
  <si>
    <t>Special is assumed to the average of previous 9 quarters for 1st and 2 nd quarter, and from third its average of the previous forecasts.</t>
  </si>
  <si>
    <t>Bank loans</t>
  </si>
  <si>
    <t>clubbed with in other non current liabilities</t>
  </si>
  <si>
    <t>no proper info on current portion bonds and bank loans</t>
  </si>
  <si>
    <t>Price per Share</t>
  </si>
  <si>
    <t>Upside/(Downside) to Current Price</t>
  </si>
  <si>
    <t>semi annual</t>
  </si>
  <si>
    <t>annual</t>
  </si>
  <si>
    <t>Annual</t>
  </si>
  <si>
    <t>from Q1 2026</t>
  </si>
  <si>
    <t>from Q4 2025</t>
  </si>
  <si>
    <t xml:space="preserve">Q's </t>
  </si>
  <si>
    <t xml:space="preserve">total </t>
  </si>
  <si>
    <t>WAI</t>
  </si>
  <si>
    <t>Other Non Current Liabilities + bank loans</t>
  </si>
  <si>
    <t>ONCL</t>
  </si>
  <si>
    <t>New Issuance</t>
  </si>
  <si>
    <t>Repayment</t>
  </si>
  <si>
    <t>other NCL</t>
  </si>
  <si>
    <t>Current Bond</t>
  </si>
  <si>
    <t>Repayments</t>
  </si>
  <si>
    <t>Bank Loans</t>
  </si>
  <si>
    <t>Loans</t>
  </si>
  <si>
    <t>Current Bank Loan</t>
  </si>
  <si>
    <t>SG&amp;A Expenses</t>
  </si>
  <si>
    <t>Operating Margin</t>
  </si>
  <si>
    <t>&lt;&lt;</t>
  </si>
  <si>
    <t>Bonds:</t>
  </si>
  <si>
    <t>Bank Loans:</t>
  </si>
  <si>
    <t>Current portion for projecting quarters</t>
  </si>
  <si>
    <t>(+) New Repaymenst due within 12 months</t>
  </si>
  <si>
    <t>Total</t>
  </si>
  <si>
    <r>
      <t>(-) Maturing in current quarter (</t>
    </r>
    <r>
      <rPr>
        <i/>
        <sz val="10"/>
        <color theme="1"/>
        <rFont val="Open Sans"/>
        <family val="2"/>
      </rPr>
      <t>Overseas US$</t>
    </r>
    <r>
      <rPr>
        <sz val="10"/>
        <color theme="1"/>
        <rFont val="Open Sans"/>
        <family val="2"/>
      </rPr>
      <t>)</t>
    </r>
  </si>
  <si>
    <r>
      <t>(-) Maturing in current quarter (</t>
    </r>
    <r>
      <rPr>
        <i/>
        <sz val="10"/>
        <color theme="1"/>
        <rFont val="Open Sans"/>
        <family val="2"/>
      </rPr>
      <t>Domestic NT$</t>
    </r>
    <r>
      <rPr>
        <sz val="10"/>
        <color theme="1"/>
        <rFont val="Open Sans"/>
        <family val="2"/>
      </rPr>
      <t>)</t>
    </r>
  </si>
  <si>
    <t>Current Portion of the Bonds Payable</t>
  </si>
  <si>
    <t>Current Portion of the Bank Loans</t>
  </si>
  <si>
    <t>Current Portion of the Bonds and Bank Loans</t>
  </si>
  <si>
    <t xml:space="preserve">Current Portions and ONCL </t>
  </si>
  <si>
    <t>average of previous quarters</t>
  </si>
  <si>
    <t>New Repaymenst due within 12m wrt to each Q's</t>
  </si>
  <si>
    <t>ONCL % Rev</t>
  </si>
  <si>
    <t>Acts as a plug to keep Leverage at certain level</t>
  </si>
  <si>
    <t>Dividends Payable</t>
  </si>
  <si>
    <r>
      <t xml:space="preserve">Tax Rate </t>
    </r>
    <r>
      <rPr>
        <i/>
        <vertAlign val="superscript"/>
        <sz val="10"/>
        <color theme="1"/>
        <rFont val="Open Sans"/>
        <family val="2"/>
      </rPr>
      <t>1</t>
    </r>
  </si>
  <si>
    <r>
      <t xml:space="preserve">Beta </t>
    </r>
    <r>
      <rPr>
        <i/>
        <vertAlign val="superscript"/>
        <sz val="10"/>
        <color theme="1"/>
        <rFont val="Open Sans"/>
        <family val="2"/>
      </rPr>
      <t>2</t>
    </r>
  </si>
  <si>
    <r>
      <t xml:space="preserve">Beta </t>
    </r>
    <r>
      <rPr>
        <i/>
        <vertAlign val="superscript"/>
        <sz val="10"/>
        <color theme="1"/>
        <rFont val="Open Sans"/>
        <family val="2"/>
      </rPr>
      <t>3</t>
    </r>
  </si>
  <si>
    <t>United Microelectronics Corporation</t>
  </si>
  <si>
    <t>Historical UFCF</t>
  </si>
  <si>
    <t>FCF Margin</t>
  </si>
  <si>
    <t>FCF</t>
  </si>
  <si>
    <t>FCF Conversion</t>
  </si>
  <si>
    <t>R&amp;D% of Revenue</t>
  </si>
  <si>
    <t>CapEx Coverage Ratio</t>
  </si>
  <si>
    <t>Operating Cash Flow</t>
  </si>
  <si>
    <t>CapEx</t>
  </si>
  <si>
    <t>Net Cash to EBIT</t>
  </si>
  <si>
    <t>Cash - Interest Bearing Liabilities</t>
  </si>
  <si>
    <t>Net Cash % of Revenue</t>
  </si>
  <si>
    <t>Net Cash</t>
  </si>
  <si>
    <t>Cash to Revenue</t>
  </si>
  <si>
    <t>Total Shares</t>
  </si>
  <si>
    <t>(FD Millions)</t>
  </si>
  <si>
    <t>WACC &amp; TGR are adjusted to Quarters</t>
  </si>
  <si>
    <t>Debt to EBIT</t>
  </si>
  <si>
    <t>Avg</t>
  </si>
  <si>
    <t>Debt /</t>
  </si>
  <si>
    <t xml:space="preserve">Note: All The Ratios In Bold Are Relevant &amp; Important For The Analysis </t>
  </si>
  <si>
    <t>Other Financila Information</t>
  </si>
  <si>
    <t>Segreggated Bonds &amp; Bank loans</t>
  </si>
  <si>
    <t>Revenue Schedule by Technology &amp; Platform</t>
  </si>
  <si>
    <t>Revenue by Platform</t>
  </si>
  <si>
    <t>Due to Lack of Data on repaymant of bank loans have assumed refinancing equals to repayment</t>
  </si>
  <si>
    <t>Kept it as same as previous quarter as it fluctuautes to much</t>
  </si>
  <si>
    <t xml:space="preserve">Marketable Fin instrumenst acquisition is xtimes of disposals assumed to increase. From 1.3 to 1.4 from previous years </t>
  </si>
  <si>
    <t>Assumed as average of previous 9 quarters</t>
  </si>
  <si>
    <t xml:space="preserve">Stock Price On 1st of June 2026 </t>
  </si>
  <si>
    <t xml:space="preserve">Stock Price On 1st of May 2026 </t>
  </si>
  <si>
    <t xml:space="preserve">1st June </t>
  </si>
  <si>
    <t>1st May</t>
  </si>
  <si>
    <t>Mid of Each Quarter</t>
  </si>
  <si>
    <t>Beginning or End of Q's Last Month</t>
  </si>
  <si>
    <t>Stock Prices as of Val dates</t>
  </si>
  <si>
    <t>Cashflows Assumptions</t>
  </si>
  <si>
    <t>First Quarter amount</t>
  </si>
  <si>
    <t>Drivers and Inputs</t>
  </si>
  <si>
    <t>Account Recievables Days</t>
  </si>
  <si>
    <t>Account Payable Days</t>
  </si>
  <si>
    <t>Assets &amp; Depreciation</t>
  </si>
  <si>
    <t>First Year Accounting Depreciation/ Depreciable First year Amount</t>
  </si>
  <si>
    <t>Usefull life: Existing assets</t>
  </si>
  <si>
    <t>Usefull life: New assets</t>
  </si>
  <si>
    <t>Tax basis for Assets</t>
  </si>
  <si>
    <t>Net PP&amp;E at the End of 2026FY</t>
  </si>
  <si>
    <t>Gross PP&amp;E at the End of 2026FY</t>
  </si>
  <si>
    <t>Depreciable Assets</t>
  </si>
  <si>
    <t>Interest Rates</t>
  </si>
  <si>
    <t>Cash Balances</t>
  </si>
  <si>
    <t>Dates</t>
  </si>
  <si>
    <t>Other Single Inputs</t>
  </si>
  <si>
    <t>Valuation Date</t>
  </si>
  <si>
    <t>First Expected Cash Flow</t>
  </si>
  <si>
    <t>Dividend Payout ratio</t>
  </si>
  <si>
    <t>NCI Dividend/Distribution</t>
  </si>
  <si>
    <t>Incorrect Date Set for Valuation?</t>
  </si>
  <si>
    <t>Incorrect Date Set for First Cash Flow?</t>
  </si>
  <si>
    <t>PPE Note:</t>
  </si>
  <si>
    <t>figures in Thousands</t>
  </si>
  <si>
    <t>Gross PPE</t>
  </si>
  <si>
    <t>Depreciable PPE</t>
  </si>
  <si>
    <t>useful Years</t>
  </si>
  <si>
    <t>Bonds</t>
  </si>
  <si>
    <t>end of Q1 2026</t>
  </si>
  <si>
    <t>First Quarter End for Forecast</t>
  </si>
  <si>
    <t>First  Forecast</t>
  </si>
  <si>
    <t>Valuation Input and Assumptions</t>
  </si>
  <si>
    <t>Shares Oustanding</t>
  </si>
  <si>
    <t>Current Stock Price</t>
  </si>
  <si>
    <t>Terminal EBITDA Multiple</t>
  </si>
  <si>
    <t>Terminal Growth Greater than or equal to WACC</t>
  </si>
  <si>
    <t>shares Outsatnding in Millions</t>
  </si>
  <si>
    <t>(NT$/sh)</t>
  </si>
  <si>
    <t xml:space="preserve">From the Peer EV/Ebitda Multiple but the issue is that we cant amount for the operational Depreciation as using the D&amp;A from CFS will make the EBITDA resulting more or less thean gross profit or Operational Income </t>
  </si>
  <si>
    <t>Based on Peers AVG Multiple is around 49 to51x</t>
  </si>
  <si>
    <t>Dashboard and Output</t>
  </si>
  <si>
    <t xml:space="preserve">which is based on the % revenue contribution by each technology and platform </t>
  </si>
  <si>
    <t xml:space="preserve">its specifications </t>
  </si>
  <si>
    <t>Most of revenue is by wafer business and growth from increasing demand for the HPC and AI</t>
  </si>
  <si>
    <t>in historicals tab revenue is calculated by both technology and platforms taken directly from the investors presentation</t>
  </si>
  <si>
    <t>under technology sub 7nm were given main priority for the revenue growth since these tech makes up most of the demand</t>
  </si>
  <si>
    <t xml:space="preserve">escpecially 3nm, and newly developing 2nm not considered in modelling since its neither available in the market yet nor </t>
  </si>
  <si>
    <t>Notes &amp; References</t>
  </si>
  <si>
    <t>Notes:</t>
  </si>
  <si>
    <t>But we have assuemd that 60% to 80% of operational cost will includes the Operational Depreciation that we can add to Operational income or netoff from gross profit to arrive at EBITDA</t>
  </si>
  <si>
    <t>Forward Valuation Ratios</t>
  </si>
  <si>
    <t>Forward P/E</t>
  </si>
  <si>
    <t>Market Share Price</t>
  </si>
  <si>
    <t>EPS</t>
  </si>
  <si>
    <t>Projected Net  Income</t>
  </si>
  <si>
    <t>Total Outstanding Shares</t>
  </si>
  <si>
    <t>Current Market Price</t>
  </si>
  <si>
    <t>Cash and Cash Equivalents</t>
  </si>
  <si>
    <t>as on end of Q1 2026</t>
  </si>
  <si>
    <t>Forward EV/Revenue</t>
  </si>
  <si>
    <t>Revenue NTM</t>
  </si>
  <si>
    <t>EPS NTM</t>
  </si>
  <si>
    <t>Mark Cap</t>
  </si>
  <si>
    <t>EV</t>
  </si>
  <si>
    <t>Price/FCF</t>
  </si>
  <si>
    <t>FCF NTM</t>
  </si>
  <si>
    <t>FCF/Share</t>
  </si>
  <si>
    <t>Market Cap or Market Price</t>
  </si>
  <si>
    <t>FCF or FCF/Share</t>
  </si>
  <si>
    <t>Opearting Cash Flow - CapEx</t>
  </si>
  <si>
    <t>CapEx % of Revenue</t>
  </si>
  <si>
    <t xml:space="preserve">CapEx/Revenue </t>
  </si>
  <si>
    <t>Revnue</t>
  </si>
  <si>
    <t>Mark Cap from the price 2170</t>
  </si>
  <si>
    <t>Day's High</t>
  </si>
  <si>
    <t>Day's Low</t>
  </si>
  <si>
    <t>Quarterly adjustmenst have been done to all the inputs of the sensitivity table</t>
  </si>
  <si>
    <r>
      <t xml:space="preserve">WACC </t>
    </r>
    <r>
      <rPr>
        <i/>
        <sz val="10"/>
        <color theme="1"/>
        <rFont val="Open Sans"/>
        <family val="2"/>
      </rPr>
      <t>annual</t>
    </r>
  </si>
  <si>
    <r>
      <t xml:space="preserve">WACC </t>
    </r>
    <r>
      <rPr>
        <i/>
        <sz val="10"/>
        <color theme="1"/>
        <rFont val="Open Sans"/>
        <family val="2"/>
      </rPr>
      <t>quarter</t>
    </r>
  </si>
  <si>
    <r>
      <t xml:space="preserve">TGR </t>
    </r>
    <r>
      <rPr>
        <i/>
        <sz val="10"/>
        <color theme="1"/>
        <rFont val="Open Sans"/>
        <family val="2"/>
      </rPr>
      <t>quarter</t>
    </r>
  </si>
  <si>
    <r>
      <t xml:space="preserve">TGR </t>
    </r>
    <r>
      <rPr>
        <i/>
        <sz val="10"/>
        <color theme="1"/>
        <rFont val="Open Sans"/>
        <family val="2"/>
      </rPr>
      <t>annual</t>
    </r>
  </si>
  <si>
    <t>Base Case</t>
  </si>
  <si>
    <t>Bear Case</t>
  </si>
  <si>
    <t>Intrinsic Value</t>
  </si>
  <si>
    <t>Upside/(Downside)</t>
  </si>
  <si>
    <t>@3.0% TGR</t>
  </si>
  <si>
    <t>Sensitivity &amp; Scenario Analysis and Outputs</t>
  </si>
  <si>
    <t>DCF Based Scenario</t>
  </si>
  <si>
    <t>Market PriceTarget Scenario (P/E Based)</t>
  </si>
  <si>
    <t>For Bull case its contradicting view of Bear Case and 3.5% is TGR for advanced packaging capacity and development of sub 2nm nodes in upcoming years.</t>
  </si>
  <si>
    <t>P/E</t>
  </si>
  <si>
    <t>Rationale</t>
  </si>
  <si>
    <t xml:space="preserve">ASML — the only supplier of EUV lithography equipment globally — trades at approximately 26-28× forward earnings. ASML's moat characteristics are directly comparable to TSMC: </t>
  </si>
  <si>
    <t>sole supplier of a critical technology, irreplaceable customer relationships, no credible near-term competition, pricing power at every contract renewal.</t>
  </si>
  <si>
    <t xml:space="preserve"> If TSMC's geographic diversification program reduces Taiwan concentration risk sufficiently for the market to value it as a technology infrastructure monopoly </t>
  </si>
  <si>
    <t>rather than a Taiwan-risk asset, a convergence toward ASML's multiple is the logical destination.</t>
  </si>
  <si>
    <t>TSMC has traded at an average of approximately 20-22× forward earnings over the past 5 years across varying geopolitical environments.</t>
  </si>
  <si>
    <t xml:space="preserve">This multiple already embeds a normalised level of Taiwan risk premium — it is neither a crisis multiple nor a re-rating multiple. </t>
  </si>
  <si>
    <t>It is simply what the market has historically been willing to pay for TSMC's earnings on average.</t>
  </si>
  <si>
    <t>If the market fully prices TSMC as a Taiwan-concentration risk asset rather than a technology moat asset, it would trade toward commodity foundry multiples.</t>
  </si>
  <si>
    <t>Samsung Foundry trades at ~14-16× forward earnings — TSMC would command a slight premium even in this scenario given superior yields and customer relationships,</t>
  </si>
  <si>
    <t xml:space="preserve"> but the geopolitical discount would dominate the multiple.</t>
  </si>
  <si>
    <t>Scenario</t>
  </si>
  <si>
    <t>For Bear Case we expect 1.5% TGR because of tech moat and industry leader without much of competation, but for the analysis we assumed there will be a competator with similar tech producing capability</t>
  </si>
  <si>
    <t>Bear Case @ 10.5% and 1.5% TGR</t>
  </si>
  <si>
    <t>Target Price</t>
  </si>
  <si>
    <t>Intrisic Price</t>
  </si>
  <si>
    <t>Sensitivity Analysis</t>
  </si>
  <si>
    <t>Scenario Analysis</t>
  </si>
  <si>
    <t>Current Price</t>
  </si>
  <si>
    <t>12-Month Target Price</t>
  </si>
  <si>
    <t>As on June 1st June 2026</t>
  </si>
  <si>
    <t>Premium (Discount) to Stock Price</t>
  </si>
  <si>
    <t>Enterprise</t>
  </si>
  <si>
    <t>Value</t>
  </si>
  <si>
    <t>Per Share</t>
  </si>
  <si>
    <t>Best Case</t>
  </si>
  <si>
    <t>Near Term Target Price</t>
  </si>
  <si>
    <t>Current Price as on 1st June</t>
  </si>
  <si>
    <t>Bear</t>
  </si>
  <si>
    <t xml:space="preserve">Bull case @ 7.5% WACC and 3% TGR </t>
  </si>
  <si>
    <t>Base case @ WACC and TGR as calculated</t>
  </si>
  <si>
    <t>Premium (Discount)</t>
  </si>
  <si>
    <t>all figures in millions of New Taiwan Dollors NTD unless stated</t>
  </si>
  <si>
    <t>(NTD/sh)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</si>
</sst>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3" formatCode="_ * #,##0.00_ ;_ * \-#,##0.00_ ;_ * &quot;-&quot;??_ ;_ @_ "/>
    <numFmt numFmtId="164" formatCode="_ * #,##0_ ;_ * \(#,##0\)_ ;_ * &quot;-&quot;??_ ;_ @_ "/>
    <numFmt numFmtId="165" formatCode="0&quot;A&quot;"/>
    <numFmt numFmtId="166" formatCode="_(#,##0_)_%;\(#,##0\)_%;_(&quot;–&quot;_)_%;_(@_)_%"/>
    <numFmt numFmtId="167" formatCode="0&quot;F&quot;"/>
    <numFmt numFmtId="168" formatCode="#,##0_);\(#,##0\);\-"/>
    <numFmt numFmtId="169" formatCode="0.00%;\(0.00%\);\-"/>
    <numFmt numFmtId="170" formatCode="0.00%;[Red]\(0.00%\);\-"/>
    <numFmt numFmtId="171" formatCode="_(0.00\x_);\(0.00\x\);_(&quot;–&quot;_);_(@_)"/>
    <numFmt numFmtId="172" formatCode="_(0.0_)&quot;days&quot;;\(0.0\)&quot;days&quot;;_(&quot;–&quot;_);_(@_)"/>
    <numFmt numFmtId="173" formatCode="0.000000000000000%"/>
    <numFmt numFmtId="174" formatCode="0\ &quot;years&quot;"/>
    <numFmt numFmtId="175" formatCode="_(#,##0%_);\(#,##0%\);_(&quot;–&quot;_)_%;_(@_)_%"/>
    <numFmt numFmtId="176" formatCode="#,##0.00_);\(#,##0.00\);\-"/>
    <numFmt numFmtId="177" formatCode="_(#,##0_);\(#,##0\);_(&quot;–&quot;_);_(@_)"/>
    <numFmt numFmtId="178" formatCode="_ * #,##0_ ;_ * \-#,##0_ ;_ * &quot;-&quot;??_ ;_ @_ "/>
    <numFmt numFmtId="179" formatCode="@\⁽\¹\⁾"/>
    <numFmt numFmtId="180" formatCode="@\⁽\²\⁾"/>
    <numFmt numFmtId="181" formatCode="&quot;Yes&quot;;&quot;ERROR&quot;;&quot;No&quot;;&quot;ERROR&quot;"/>
    <numFmt numFmtId="182" formatCode="0.0%"/>
    <numFmt numFmtId="183" formatCode="#,##0_);[Red]\(#,##0\);\-"/>
    <numFmt numFmtId="184" formatCode="_(#,##0.0%_);\(#,##0.0%\);_(&quot;–&quot;_)_%;_(@_)_%"/>
    <numFmt numFmtId="185" formatCode="_(#,##0.00%_);\(#,##0.00%\);_(&quot;–&quot;_)_%;_(@_)_%"/>
    <numFmt numFmtId="186" formatCode="dd/mm/yy"/>
    <numFmt numFmtId="187" formatCode="_(0.0000\x_);\(0.0000\x\);_(&quot;–&quot;_);_(@_)"/>
    <numFmt numFmtId="188" formatCode="_-* #,##0.00_-;\-* #,##0.00_-;_-* &quot;-&quot;??_-;_-@_-"/>
    <numFmt numFmtId="189" formatCode="_(#,##0.00_);\(#,##0.00\);_(&quot;–&quot;_);_(@_)"/>
    <numFmt numFmtId="190" formatCode="[=1]&quot;☑️&quot;_);[=0]&quot;⬜&quot;_)"/>
    <numFmt numFmtId="191" formatCode="yyyy&quot;A&quot;_)"/>
    <numFmt numFmtId="192" formatCode="yyyy&quot;F&quot;_)"/>
    <numFmt numFmtId="193" formatCode="_(0.0\x_);\(0.0\x\);_(&quot;–&quot;_);_(@_)"/>
    <numFmt numFmtId="194" formatCode="[$-14009]d/m/yy;@"/>
    <numFmt numFmtId="195" formatCode="0.000%"/>
    <numFmt numFmtId="196" formatCode="0.0000"/>
    <numFmt numFmtId="197" formatCode="0.000"/>
    <numFmt numFmtId="198" formatCode="0.0"/>
    <numFmt numFmtId="199" formatCode="@\⁽\³\⁾"/>
    <numFmt numFmtId="200" formatCode="@\⁽\⁴\⁾"/>
    <numFmt numFmtId="201" formatCode="_ * #,##0.000_ ;_ * \(#,##0.000\)_ ;_ * &quot;-&quot;??_ ;_ @_ "/>
    <numFmt numFmtId="202" formatCode="_ * #,##0.000000_ ;_ * \-#,##0.000000_ ;_ * &quot;-&quot;??_ ;_ @_ "/>
    <numFmt numFmtId="203" formatCode="_(0.000\x_);\(0.000\x\);_(&quot;–&quot;_);_(@_)"/>
    <numFmt numFmtId="204" formatCode="_ * #,##0.0000000_ ;_ * \-#,##0.0000000_ ;_ * &quot;-&quot;??_ ;_ @_ "/>
    <numFmt numFmtId="205" formatCode="_ * #,##0.00000000_ ;_ * \-#,##0.00000000_ ;_ * &quot;-&quot;??_ ;_ @_ "/>
    <numFmt numFmtId="206" formatCode="_ * #,##0.00_ ;_ * \(#,##0.00\)_ ;_ * &quot;-&quot;??_ ;_ @_ "/>
    <numFmt numFmtId="207" formatCode="_ * #,##0.0000000000_ ;_ * \(#,##0.0000000000\)_ ;_ * &quot;-&quot;??_ ;_ @_ "/>
    <numFmt numFmtId="208" formatCode="_ * #,##0.00000000000_ ;_ * \(#,##0.00000000000\)_ ;_ * &quot;-&quot;??_ ;_ @_ "/>
    <numFmt numFmtId="209" formatCode="yyyy/mm/dd"/>
    <numFmt numFmtId="210" formatCode="[=1]&quot;Yes&quot;_);[=0]&quot;No&quot;_)"/>
    <numFmt numFmtId="214" formatCode="_ * #,##0.000000_ ;_ * \(#,##0.000000\)_ ;_ * &quot;-&quot;??_ ;_ @_ "/>
    <numFmt numFmtId="219" formatCode="_(#,##0.0_);\(#,##0.0\);_(&quot;–&quot;_);_(@_)"/>
    <numFmt numFmtId="220" formatCode="#,##0.0_);\(#,##0.0\);\-"/>
  </numFmts>
  <fonts count="54" x14ac:knownFonts="1">
    <font>
      <sz val="10"/>
      <color theme="1"/>
      <name val="Open Sans"/>
      <family val="2"/>
    </font>
    <font>
      <b/>
      <sz val="10"/>
      <color theme="1"/>
      <name val="Open Sans"/>
      <family val="2"/>
    </font>
    <font>
      <i/>
      <sz val="8"/>
      <color theme="1"/>
      <name val="Open Sans"/>
      <family val="2"/>
    </font>
    <font>
      <b/>
      <i/>
      <sz val="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b/>
      <sz val="14"/>
      <color rgb="FF0000FF"/>
      <name val="Open Sans"/>
      <family val="2"/>
    </font>
    <font>
      <sz val="14"/>
      <color theme="1"/>
      <name val="Open Sans"/>
      <family val="2"/>
    </font>
    <font>
      <b/>
      <sz val="10"/>
      <color rgb="FFFA621C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b/>
      <sz val="10"/>
      <color rgb="FF000000"/>
      <name val="Open Sans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0"/>
      <name val="Open Sans"/>
      <family val="2"/>
    </font>
    <font>
      <sz val="10"/>
      <color rgb="FF000000"/>
      <name val="Open Sans"/>
      <family val="2"/>
    </font>
    <font>
      <sz val="11"/>
      <color theme="1"/>
      <name val="Calibri"/>
      <family val="2"/>
      <scheme val="minor"/>
    </font>
    <font>
      <sz val="10"/>
      <color rgb="FF3271D2"/>
      <name val="Open Sans"/>
      <family val="2"/>
    </font>
    <font>
      <sz val="11"/>
      <name val="Open Sans"/>
      <family val="2"/>
    </font>
    <font>
      <sz val="9"/>
      <name val="Open Sans"/>
      <family val="2"/>
    </font>
    <font>
      <b/>
      <sz val="10"/>
      <color rgb="FF002060"/>
      <name val="Open Sans"/>
      <family val="2"/>
    </font>
    <font>
      <i/>
      <sz val="10"/>
      <name val="Open Sans"/>
      <family val="2"/>
    </font>
    <font>
      <sz val="10"/>
      <color rgb="FF0070C0"/>
      <name val="Open Sans"/>
      <family val="2"/>
    </font>
    <font>
      <vertAlign val="superscript"/>
      <sz val="10"/>
      <name val="Open Sans"/>
      <family val="2"/>
    </font>
    <font>
      <b/>
      <sz val="10"/>
      <color rgb="FFFFFFFF"/>
      <name val="Open Sans"/>
      <family val="2"/>
    </font>
    <font>
      <sz val="10"/>
      <color rgb="FFFA621C"/>
      <name val="Open Sans"/>
      <family val="2"/>
    </font>
    <font>
      <i/>
      <sz val="10"/>
      <color rgb="FF3271D2"/>
      <name val="Open Sans"/>
      <family val="2"/>
    </font>
    <font>
      <b/>
      <vertAlign val="superscript"/>
      <sz val="10"/>
      <name val="Open Sans"/>
      <family val="2"/>
    </font>
    <font>
      <b/>
      <sz val="9"/>
      <color rgb="FF000000"/>
      <name val="Open Sans"/>
      <family val="2"/>
    </font>
    <font>
      <sz val="8"/>
      <name val="Open Sans"/>
      <family val="2"/>
    </font>
    <font>
      <sz val="10"/>
      <color rgb="FFC32838"/>
      <name val="Open Sans"/>
      <family val="2"/>
    </font>
    <font>
      <sz val="11"/>
      <color rgb="FF000000"/>
      <name val="Open Sans"/>
      <family val="2"/>
    </font>
    <font>
      <sz val="8"/>
      <color rgb="FF947131"/>
      <name val="Open Sans"/>
      <family val="2"/>
    </font>
    <font>
      <i/>
      <sz val="10"/>
      <color rgb="FF000000"/>
      <name val="Open Sans"/>
      <family val="2"/>
    </font>
    <font>
      <vertAlign val="superscript"/>
      <sz val="9"/>
      <color rgb="FF000000"/>
      <name val="Open Sans"/>
      <family val="2"/>
    </font>
    <font>
      <sz val="11"/>
      <color rgb="FF947131"/>
      <name val="Open Sans"/>
      <family val="2"/>
    </font>
    <font>
      <i/>
      <sz val="8"/>
      <color rgb="FF000000"/>
      <name val="Open Sans"/>
      <family val="2"/>
    </font>
    <font>
      <i/>
      <sz val="10"/>
      <color theme="1"/>
      <name val="Open Sans"/>
      <family val="2"/>
    </font>
    <font>
      <i/>
      <sz val="8"/>
      <name val="Open Sans"/>
      <family val="2"/>
    </font>
    <font>
      <b/>
      <sz val="14"/>
      <color theme="1"/>
      <name val="Open Sans"/>
      <family val="2"/>
    </font>
    <font>
      <vertAlign val="superscript"/>
      <sz val="10"/>
      <color rgb="FF000000"/>
      <name val="Open Sans"/>
      <family val="2"/>
    </font>
    <font>
      <b/>
      <i/>
      <sz val="10"/>
      <color theme="1"/>
      <name val="Open Sans"/>
      <family val="2"/>
    </font>
    <font>
      <sz val="10"/>
      <color rgb="FF947131"/>
      <name val="Open Sans"/>
      <family val="2"/>
    </font>
    <font>
      <i/>
      <vertAlign val="superscript"/>
      <sz val="10"/>
      <color theme="1"/>
      <name val="Open Sans"/>
      <family val="2"/>
    </font>
    <font>
      <b/>
      <sz val="10"/>
      <color rgb="FF0070C0"/>
      <name val="Open Sans"/>
      <family val="2"/>
    </font>
    <font>
      <b/>
      <sz val="14"/>
      <color theme="0"/>
      <name val="Open Sans"/>
      <family val="2"/>
    </font>
    <font>
      <i/>
      <sz val="9"/>
      <color theme="0"/>
      <name val="Open Sans"/>
      <family val="2"/>
    </font>
    <font>
      <b/>
      <i/>
      <sz val="8"/>
      <color theme="0"/>
      <name val="Open Sans"/>
      <family val="2"/>
    </font>
    <font>
      <i/>
      <sz val="10"/>
      <color rgb="FF0070C0"/>
      <name val="Open Sans"/>
      <family val="2"/>
    </font>
    <font>
      <b/>
      <i/>
      <sz val="10"/>
      <color theme="0"/>
      <name val="Open Sans"/>
      <family val="2"/>
    </font>
    <font>
      <i/>
      <sz val="9"/>
      <color theme="1"/>
      <name val="Open Sans"/>
      <family val="2"/>
    </font>
    <font>
      <b/>
      <sz val="9"/>
      <name val="Open Sans"/>
      <family val="2"/>
    </font>
    <font>
      <b/>
      <i/>
      <sz val="10"/>
      <color rgb="FF00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/>
      <bottom style="medium">
        <color rgb="FF3271D2"/>
      </bottom>
      <diagonal/>
    </border>
    <border>
      <left/>
      <right/>
      <top style="medium">
        <color rgb="FF3271D2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14" fillId="0" borderId="0"/>
    <xf numFmtId="188" fontId="17" fillId="0" borderId="0" applyFont="0" applyFill="0" applyBorder="0" applyAlignment="0" applyProtection="0"/>
    <xf numFmtId="0" fontId="14" fillId="0" borderId="0"/>
  </cellStyleXfs>
  <cellXfs count="50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/>
    <xf numFmtId="0" fontId="2" fillId="0" borderId="0" xfId="0" applyFont="1"/>
    <xf numFmtId="17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37" fontId="7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right"/>
    </xf>
    <xf numFmtId="37" fontId="8" fillId="0" borderId="0" xfId="0" applyNumberFormat="1" applyFont="1" applyAlignment="1">
      <alignment vertical="center"/>
    </xf>
    <xf numFmtId="37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/>
    </xf>
    <xf numFmtId="166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5" fillId="0" borderId="0" xfId="2" applyFont="1"/>
    <xf numFmtId="0" fontId="15" fillId="0" borderId="0" xfId="2" quotePrefix="1" applyFont="1" applyAlignment="1">
      <alignment horizontal="center"/>
    </xf>
    <xf numFmtId="0" fontId="15" fillId="0" borderId="4" xfId="2" applyFont="1" applyBorder="1" applyAlignment="1">
      <alignment horizontal="center"/>
    </xf>
    <xf numFmtId="168" fontId="16" fillId="0" borderId="4" xfId="0" applyNumberFormat="1" applyFont="1" applyBorder="1"/>
    <xf numFmtId="0" fontId="16" fillId="0" borderId="0" xfId="2" quotePrefix="1" applyFont="1" applyAlignment="1">
      <alignment horizontal="center"/>
    </xf>
    <xf numFmtId="169" fontId="16" fillId="0" borderId="0" xfId="1" quotePrefix="1" applyNumberFormat="1" applyFont="1" applyAlignment="1">
      <alignment horizontal="right"/>
    </xf>
    <xf numFmtId="0" fontId="15" fillId="0" borderId="0" xfId="2" applyFont="1" applyAlignment="1">
      <alignment horizontal="center"/>
    </xf>
    <xf numFmtId="168" fontId="16" fillId="0" borderId="0" xfId="0" applyNumberFormat="1" applyFont="1"/>
    <xf numFmtId="0" fontId="18" fillId="0" borderId="0" xfId="2" applyFont="1" applyAlignment="1">
      <alignment horizontal="center"/>
    </xf>
    <xf numFmtId="169" fontId="18" fillId="0" borderId="0" xfId="1" quotePrefix="1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0" fontId="18" fillId="0" borderId="0" xfId="1" quotePrefix="1" applyNumberFormat="1" applyFont="1" applyAlignment="1">
      <alignment horizontal="right"/>
    </xf>
    <xf numFmtId="0" fontId="19" fillId="0" borderId="0" xfId="0" applyFont="1" applyAlignment="1">
      <alignment horizontal="right"/>
    </xf>
    <xf numFmtId="170" fontId="16" fillId="0" borderId="0" xfId="1" quotePrefix="1" applyNumberFormat="1" applyFont="1" applyFill="1" applyAlignment="1">
      <alignment horizontal="right"/>
    </xf>
    <xf numFmtId="0" fontId="19" fillId="0" borderId="0" xfId="0" applyFont="1"/>
    <xf numFmtId="170" fontId="16" fillId="0" borderId="0" xfId="1" quotePrefix="1" applyNumberFormat="1" applyFont="1" applyAlignment="1">
      <alignment horizontal="right"/>
    </xf>
    <xf numFmtId="0" fontId="16" fillId="0" borderId="0" xfId="0" applyFont="1"/>
    <xf numFmtId="0" fontId="15" fillId="0" borderId="0" xfId="0" applyFont="1"/>
    <xf numFmtId="0" fontId="20" fillId="0" borderId="0" xfId="2" applyFont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168" fontId="16" fillId="0" borderId="6" xfId="0" applyNumberFormat="1" applyFont="1" applyBorder="1"/>
    <xf numFmtId="171" fontId="16" fillId="0" borderId="0" xfId="0" applyNumberFormat="1" applyFont="1" applyAlignment="1">
      <alignment horizontal="right"/>
    </xf>
    <xf numFmtId="2" fontId="18" fillId="0" borderId="0" xfId="1" quotePrefix="1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quotePrefix="1" applyFont="1"/>
    <xf numFmtId="2" fontId="16" fillId="0" borderId="0" xfId="1" quotePrefix="1" applyNumberFormat="1" applyFont="1" applyAlignment="1">
      <alignment horizontal="right"/>
    </xf>
    <xf numFmtId="2" fontId="18" fillId="0" borderId="0" xfId="1" quotePrefix="1" applyNumberFormat="1" applyFont="1" applyFill="1" applyAlignment="1">
      <alignment horizontal="right"/>
    </xf>
    <xf numFmtId="169" fontId="16" fillId="0" borderId="4" xfId="1" quotePrefix="1" applyNumberFormat="1" applyFont="1" applyBorder="1" applyAlignment="1">
      <alignment horizontal="center"/>
    </xf>
    <xf numFmtId="170" fontId="16" fillId="0" borderId="0" xfId="1" quotePrefix="1" applyNumberFormat="1" applyFont="1" applyAlignment="1">
      <alignment horizontal="center"/>
    </xf>
    <xf numFmtId="169" fontId="16" fillId="0" borderId="0" xfId="1" quotePrefix="1" applyNumberFormat="1" applyFont="1" applyAlignment="1">
      <alignment horizontal="center"/>
    </xf>
    <xf numFmtId="2" fontId="18" fillId="0" borderId="0" xfId="1" quotePrefix="1" applyNumberFormat="1" applyFont="1" applyBorder="1" applyAlignment="1">
      <alignment horizontal="right"/>
    </xf>
    <xf numFmtId="170" fontId="16" fillId="0" borderId="0" xfId="1" quotePrefix="1" applyNumberFormat="1" applyFont="1" applyBorder="1" applyAlignment="1">
      <alignment horizontal="right"/>
    </xf>
    <xf numFmtId="169" fontId="18" fillId="0" borderId="0" xfId="1" quotePrefix="1" applyNumberFormat="1" applyFont="1" applyBorder="1" applyAlignment="1">
      <alignment horizontal="right"/>
    </xf>
    <xf numFmtId="170" fontId="18" fillId="0" borderId="0" xfId="1" quotePrefix="1" applyNumberFormat="1" applyFont="1" applyBorder="1" applyAlignment="1">
      <alignment horizontal="right"/>
    </xf>
    <xf numFmtId="0" fontId="11" fillId="0" borderId="0" xfId="0" applyFont="1"/>
    <xf numFmtId="166" fontId="15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10" fontId="0" fillId="0" borderId="0" xfId="0" applyNumberFormat="1"/>
    <xf numFmtId="166" fontId="11" fillId="0" borderId="0" xfId="0" applyNumberFormat="1" applyFont="1" applyAlignment="1">
      <alignment vertical="center"/>
    </xf>
    <xf numFmtId="164" fontId="0" fillId="0" borderId="7" xfId="0" applyNumberFormat="1" applyBorder="1"/>
    <xf numFmtId="0" fontId="0" fillId="0" borderId="7" xfId="0" applyBorder="1"/>
    <xf numFmtId="164" fontId="1" fillId="0" borderId="7" xfId="0" applyNumberFormat="1" applyFont="1" applyBorder="1"/>
    <xf numFmtId="173" fontId="0" fillId="0" borderId="0" xfId="0" applyNumberFormat="1"/>
    <xf numFmtId="43" fontId="0" fillId="0" borderId="0" xfId="0" applyNumberFormat="1"/>
    <xf numFmtId="9" fontId="0" fillId="0" borderId="0" xfId="0" applyNumberFormat="1"/>
    <xf numFmtId="169" fontId="12" fillId="0" borderId="0" xfId="1" quotePrefix="1" applyNumberFormat="1" applyFont="1" applyAlignment="1">
      <alignment horizontal="right"/>
    </xf>
    <xf numFmtId="17" fontId="21" fillId="0" borderId="0" xfId="0" applyNumberFormat="1" applyFont="1"/>
    <xf numFmtId="0" fontId="23" fillId="0" borderId="8" xfId="0" applyFont="1" applyBorder="1"/>
    <xf numFmtId="0" fontId="23" fillId="0" borderId="7" xfId="0" applyFont="1" applyBorder="1"/>
    <xf numFmtId="0" fontId="23" fillId="0" borderId="9" xfId="0" applyFon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5" xfId="0" applyNumberFormat="1" applyBorder="1"/>
    <xf numFmtId="164" fontId="0" fillId="0" borderId="12" xfId="0" applyNumberFormat="1" applyBorder="1"/>
    <xf numFmtId="2" fontId="0" fillId="0" borderId="0" xfId="0" applyNumberFormat="1"/>
    <xf numFmtId="0" fontId="2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indent="1"/>
    </xf>
    <xf numFmtId="169" fontId="23" fillId="0" borderId="0" xfId="1" quotePrefix="1" applyNumberFormat="1" applyFont="1" applyAlignment="1">
      <alignment horizontal="right"/>
    </xf>
    <xf numFmtId="0" fontId="1" fillId="0" borderId="0" xfId="0" applyFont="1" applyAlignment="1">
      <alignment horizontal="left"/>
    </xf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49" fontId="15" fillId="0" borderId="0" xfId="0" applyNumberFormat="1" applyFont="1" applyAlignment="1">
      <alignment horizontal="left"/>
    </xf>
    <xf numFmtId="0" fontId="0" fillId="0" borderId="8" xfId="0" applyBorder="1"/>
    <xf numFmtId="174" fontId="0" fillId="0" borderId="9" xfId="0" applyNumberFormat="1" applyBorder="1"/>
    <xf numFmtId="0" fontId="0" fillId="0" borderId="11" xfId="0" applyBorder="1"/>
    <xf numFmtId="175" fontId="0" fillId="0" borderId="13" xfId="0" applyNumberFormat="1" applyBorder="1" applyAlignment="1">
      <alignment horizontal="right"/>
    </xf>
    <xf numFmtId="175" fontId="0" fillId="0" borderId="14" xfId="0" applyNumberFormat="1" applyBorder="1" applyAlignment="1">
      <alignment horizontal="right"/>
    </xf>
    <xf numFmtId="175" fontId="0" fillId="0" borderId="15" xfId="0" applyNumberFormat="1" applyBorder="1" applyAlignment="1">
      <alignment horizontal="right"/>
    </xf>
    <xf numFmtId="175" fontId="0" fillId="0" borderId="12" xfId="0" applyNumberFormat="1" applyBorder="1" applyAlignment="1">
      <alignment horizontal="right"/>
    </xf>
    <xf numFmtId="0" fontId="11" fillId="0" borderId="0" xfId="0" applyFont="1" applyAlignment="1">
      <alignment horizontal="left"/>
    </xf>
    <xf numFmtId="176" fontId="16" fillId="0" borderId="17" xfId="0" applyNumberFormat="1" applyFont="1" applyBorder="1" applyAlignment="1">
      <alignment horizontal="left"/>
    </xf>
    <xf numFmtId="175" fontId="16" fillId="0" borderId="17" xfId="0" applyNumberFormat="1" applyFont="1" applyBorder="1" applyAlignment="1">
      <alignment horizontal="right"/>
    </xf>
    <xf numFmtId="175" fontId="16" fillId="0" borderId="18" xfId="0" applyNumberFormat="1" applyFont="1" applyBorder="1" applyAlignment="1">
      <alignment horizontal="right"/>
    </xf>
    <xf numFmtId="176" fontId="16" fillId="0" borderId="0" xfId="0" applyNumberFormat="1" applyFont="1" applyAlignment="1">
      <alignment horizontal="left"/>
    </xf>
    <xf numFmtId="175" fontId="16" fillId="0" borderId="0" xfId="0" applyNumberFormat="1" applyFont="1" applyAlignment="1">
      <alignment horizontal="right"/>
    </xf>
    <xf numFmtId="175" fontId="16" fillId="0" borderId="20" xfId="0" applyNumberFormat="1" applyFont="1" applyBorder="1" applyAlignment="1">
      <alignment horizontal="right"/>
    </xf>
    <xf numFmtId="176" fontId="16" fillId="0" borderId="22" xfId="0" applyNumberFormat="1" applyFont="1" applyBorder="1" applyAlignment="1">
      <alignment horizontal="left"/>
    </xf>
    <xf numFmtId="175" fontId="16" fillId="0" borderId="22" xfId="0" applyNumberFormat="1" applyFont="1" applyBorder="1" applyAlignment="1">
      <alignment horizontal="right"/>
    </xf>
    <xf numFmtId="175" fontId="16" fillId="0" borderId="23" xfId="0" applyNumberFormat="1" applyFont="1" applyBorder="1" applyAlignment="1">
      <alignment horizontal="right"/>
    </xf>
    <xf numFmtId="167" fontId="11" fillId="0" borderId="0" xfId="0" applyNumberFormat="1" applyFont="1" applyAlignment="1">
      <alignment horizontal="centerContinuous"/>
    </xf>
    <xf numFmtId="37" fontId="0" fillId="0" borderId="0" xfId="0" applyNumberFormat="1" applyAlignment="1">
      <alignment horizontal="centerContinuous" vertical="center"/>
    </xf>
    <xf numFmtId="168" fontId="16" fillId="0" borderId="17" xfId="0" applyNumberFormat="1" applyFont="1" applyBorder="1" applyAlignment="1">
      <alignment horizontal="left"/>
    </xf>
    <xf numFmtId="177" fontId="16" fillId="0" borderId="17" xfId="0" applyNumberFormat="1" applyFont="1" applyBorder="1" applyAlignment="1">
      <alignment horizontal="right"/>
    </xf>
    <xf numFmtId="177" fontId="16" fillId="0" borderId="18" xfId="0" applyNumberFormat="1" applyFont="1" applyBorder="1" applyAlignment="1">
      <alignment horizontal="right"/>
    </xf>
    <xf numFmtId="168" fontId="16" fillId="0" borderId="0" xfId="0" applyNumberFormat="1" applyFont="1" applyAlignment="1">
      <alignment horizontal="left"/>
    </xf>
    <xf numFmtId="177" fontId="16" fillId="0" borderId="0" xfId="0" applyNumberFormat="1" applyFont="1" applyAlignment="1">
      <alignment horizontal="right"/>
    </xf>
    <xf numFmtId="177" fontId="16" fillId="0" borderId="20" xfId="0" applyNumberFormat="1" applyFont="1" applyBorder="1" applyAlignment="1">
      <alignment horizontal="right"/>
    </xf>
    <xf numFmtId="168" fontId="16" fillId="0" borderId="22" xfId="0" applyNumberFormat="1" applyFont="1" applyBorder="1" applyAlignment="1">
      <alignment horizontal="left"/>
    </xf>
    <xf numFmtId="177" fontId="16" fillId="0" borderId="22" xfId="0" applyNumberFormat="1" applyFont="1" applyBorder="1" applyAlignment="1">
      <alignment horizontal="right"/>
    </xf>
    <xf numFmtId="177" fontId="16" fillId="0" borderId="23" xfId="0" applyNumberFormat="1" applyFont="1" applyBorder="1" applyAlignment="1">
      <alignment horizontal="right"/>
    </xf>
    <xf numFmtId="178" fontId="0" fillId="0" borderId="0" xfId="0" applyNumberFormat="1"/>
    <xf numFmtId="177" fontId="0" fillId="0" borderId="0" xfId="0" applyNumberFormat="1"/>
    <xf numFmtId="177" fontId="1" fillId="0" borderId="7" xfId="0" applyNumberFormat="1" applyFont="1" applyBorder="1"/>
    <xf numFmtId="179" fontId="15" fillId="0" borderId="0" xfId="0" quotePrefix="1" applyNumberFormat="1" applyFont="1" applyAlignment="1">
      <alignment horizontal="right"/>
    </xf>
    <xf numFmtId="180" fontId="15" fillId="0" borderId="0" xfId="0" quotePrefix="1" applyNumberFormat="1" applyFont="1" applyAlignment="1">
      <alignment horizontal="right"/>
    </xf>
    <xf numFmtId="165" fontId="11" fillId="0" borderId="7" xfId="0" applyNumberFormat="1" applyFont="1" applyBorder="1" applyAlignment="1">
      <alignment horizontal="right"/>
    </xf>
    <xf numFmtId="17" fontId="21" fillId="0" borderId="8" xfId="0" applyNumberFormat="1" applyFont="1" applyBorder="1" applyAlignment="1">
      <alignment horizontal="center"/>
    </xf>
    <xf numFmtId="17" fontId="21" fillId="0" borderId="3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75" fontId="16" fillId="0" borderId="9" xfId="0" applyNumberFormat="1" applyFont="1" applyBorder="1" applyAlignment="1">
      <alignment horizontal="right"/>
    </xf>
    <xf numFmtId="175" fontId="16" fillId="0" borderId="12" xfId="0" applyNumberFormat="1" applyFont="1" applyBorder="1" applyAlignment="1">
      <alignment horizontal="right"/>
    </xf>
    <xf numFmtId="174" fontId="0" fillId="0" borderId="0" xfId="0" applyNumberFormat="1"/>
    <xf numFmtId="177" fontId="16" fillId="0" borderId="0" xfId="0" applyNumberFormat="1" applyFont="1"/>
    <xf numFmtId="178" fontId="1" fillId="0" borderId="7" xfId="0" applyNumberFormat="1" applyFont="1" applyBorder="1"/>
    <xf numFmtId="178" fontId="1" fillId="0" borderId="0" xfId="0" applyNumberFormat="1" applyFont="1"/>
    <xf numFmtId="181" fontId="0" fillId="0" borderId="0" xfId="0" applyNumberFormat="1"/>
    <xf numFmtId="0" fontId="16" fillId="0" borderId="16" xfId="0" applyFont="1" applyBorder="1" applyAlignment="1">
      <alignment horizontal="left"/>
    </xf>
    <xf numFmtId="37" fontId="25" fillId="0" borderId="17" xfId="0" applyNumberFormat="1" applyFont="1" applyBorder="1" applyAlignment="1">
      <alignment vertical="center"/>
    </xf>
    <xf numFmtId="182" fontId="16" fillId="0" borderId="18" xfId="1" applyNumberFormat="1" applyFont="1" applyFill="1" applyBorder="1" applyAlignment="1"/>
    <xf numFmtId="49" fontId="16" fillId="0" borderId="21" xfId="0" applyNumberFormat="1" applyFont="1" applyBorder="1" applyAlignment="1">
      <alignment horizontal="left"/>
    </xf>
    <xf numFmtId="37" fontId="5" fillId="0" borderId="22" xfId="0" applyNumberFormat="1" applyFont="1" applyBorder="1" applyAlignment="1">
      <alignment vertical="center"/>
    </xf>
    <xf numFmtId="181" fontId="16" fillId="0" borderId="23" xfId="0" applyNumberFormat="1" applyFont="1" applyBorder="1" applyAlignment="1">
      <alignment horizontal="right"/>
    </xf>
    <xf numFmtId="177" fontId="26" fillId="0" borderId="0" xfId="0" applyNumberFormat="1" applyFont="1"/>
    <xf numFmtId="182" fontId="27" fillId="0" borderId="0" xfId="1" applyNumberFormat="1" applyFont="1" applyBorder="1"/>
    <xf numFmtId="177" fontId="11" fillId="0" borderId="0" xfId="0" applyNumberFormat="1" applyFont="1" applyAlignment="1">
      <alignment horizontal="right"/>
    </xf>
    <xf numFmtId="177" fontId="16" fillId="0" borderId="22" xfId="0" applyNumberFormat="1" applyFont="1" applyBorder="1"/>
    <xf numFmtId="49" fontId="11" fillId="0" borderId="0" xfId="0" applyNumberFormat="1" applyFont="1" applyAlignment="1">
      <alignment horizontal="left"/>
    </xf>
    <xf numFmtId="177" fontId="11" fillId="0" borderId="22" xfId="0" applyNumberFormat="1" applyFont="1" applyBorder="1" applyAlignment="1">
      <alignment horizontal="right"/>
    </xf>
    <xf numFmtId="177" fontId="15" fillId="0" borderId="0" xfId="0" applyNumberFormat="1" applyFont="1"/>
    <xf numFmtId="0" fontId="15" fillId="0" borderId="0" xfId="0" applyFont="1" applyAlignment="1">
      <alignment horizontal="left" indent="1"/>
    </xf>
    <xf numFmtId="0" fontId="15" fillId="0" borderId="7" xfId="0" applyFont="1" applyBorder="1" applyAlignment="1">
      <alignment horizontal="left" indent="1"/>
    </xf>
    <xf numFmtId="37" fontId="5" fillId="0" borderId="7" xfId="0" applyNumberFormat="1" applyFont="1" applyBorder="1" applyAlignment="1">
      <alignment vertical="center"/>
    </xf>
    <xf numFmtId="177" fontId="15" fillId="0" borderId="7" xfId="0" applyNumberFormat="1" applyFont="1" applyBorder="1"/>
    <xf numFmtId="177" fontId="16" fillId="0" borderId="7" xfId="0" applyNumberFormat="1" applyFont="1" applyBorder="1"/>
    <xf numFmtId="177" fontId="12" fillId="0" borderId="7" xfId="0" applyNumberFormat="1" applyFont="1" applyBorder="1" applyAlignment="1">
      <alignment horizontal="right" vertical="center"/>
    </xf>
    <xf numFmtId="183" fontId="15" fillId="0" borderId="0" xfId="0" applyNumberFormat="1" applyFont="1"/>
    <xf numFmtId="184" fontId="15" fillId="0" borderId="0" xfId="1" applyNumberFormat="1" applyFont="1" applyFill="1" applyBorder="1" applyAlignment="1">
      <alignment horizontal="right"/>
    </xf>
    <xf numFmtId="184" fontId="16" fillId="0" borderId="0" xfId="1" applyNumberFormat="1" applyFont="1" applyFill="1" applyBorder="1" applyAlignment="1">
      <alignment horizontal="right"/>
    </xf>
    <xf numFmtId="37" fontId="0" fillId="0" borderId="0" xfId="0" applyNumberFormat="1" applyAlignment="1">
      <alignment vertical="center"/>
    </xf>
    <xf numFmtId="167" fontId="15" fillId="0" borderId="17" xfId="0" applyNumberFormat="1" applyFont="1" applyBorder="1" applyAlignment="1">
      <alignment horizontal="left"/>
    </xf>
    <xf numFmtId="167" fontId="15" fillId="0" borderId="0" xfId="0" applyNumberFormat="1" applyFont="1" applyAlignment="1">
      <alignment horizontal="left"/>
    </xf>
    <xf numFmtId="167" fontId="15" fillId="0" borderId="22" xfId="0" applyNumberFormat="1" applyFont="1" applyBorder="1" applyAlignment="1">
      <alignment horizontal="left"/>
    </xf>
    <xf numFmtId="169" fontId="23" fillId="0" borderId="0" xfId="1" quotePrefix="1" applyNumberFormat="1" applyFont="1" applyBorder="1" applyAlignment="1">
      <alignment horizontal="right"/>
    </xf>
    <xf numFmtId="169" fontId="12" fillId="0" borderId="0" xfId="1" quotePrefix="1" applyNumberFormat="1" applyFont="1" applyBorder="1" applyAlignment="1">
      <alignment horizontal="right"/>
    </xf>
    <xf numFmtId="0" fontId="11" fillId="0" borderId="0" xfId="0" applyFont="1" applyAlignment="1">
      <alignment horizontal="centerContinuous"/>
    </xf>
    <xf numFmtId="0" fontId="0" fillId="0" borderId="17" xfId="0" applyBorder="1"/>
    <xf numFmtId="0" fontId="0" fillId="0" borderId="22" xfId="0" applyBorder="1"/>
    <xf numFmtId="164" fontId="0" fillId="0" borderId="9" xfId="0" applyNumberFormat="1" applyBorder="1"/>
    <xf numFmtId="185" fontId="0" fillId="0" borderId="12" xfId="0" applyNumberFormat="1" applyBorder="1" applyAlignment="1">
      <alignment horizontal="right"/>
    </xf>
    <xf numFmtId="185" fontId="0" fillId="0" borderId="0" xfId="0" applyNumberFormat="1" applyAlignment="1">
      <alignment horizontal="right"/>
    </xf>
    <xf numFmtId="17" fontId="21" fillId="0" borderId="0" xfId="0" applyNumberFormat="1" applyFont="1" applyAlignment="1">
      <alignment horizontal="center"/>
    </xf>
    <xf numFmtId="169" fontId="23" fillId="0" borderId="0" xfId="1" applyNumberFormat="1" applyFont="1" applyAlignment="1">
      <alignment horizontal="right"/>
    </xf>
    <xf numFmtId="0" fontId="15" fillId="0" borderId="16" xfId="0" applyFont="1" applyBorder="1" applyAlignment="1">
      <alignment horizontal="left"/>
    </xf>
    <xf numFmtId="177" fontId="29" fillId="0" borderId="25" xfId="0" applyNumberFormat="1" applyFont="1" applyBorder="1" applyAlignment="1">
      <alignment horizontal="center"/>
    </xf>
    <xf numFmtId="177" fontId="29" fillId="0" borderId="25" xfId="0" applyNumberFormat="1" applyFont="1" applyBorder="1" applyAlignment="1">
      <alignment horizontal="centerContinuous"/>
    </xf>
    <xf numFmtId="165" fontId="29" fillId="0" borderId="26" xfId="0" applyNumberFormat="1" applyFont="1" applyBorder="1" applyAlignment="1">
      <alignment horizontal="centerContinuous"/>
    </xf>
    <xf numFmtId="177" fontId="29" fillId="0" borderId="27" xfId="0" applyNumberFormat="1" applyFont="1" applyBorder="1" applyAlignment="1">
      <alignment horizontal="center"/>
    </xf>
    <xf numFmtId="0" fontId="15" fillId="0" borderId="21" xfId="0" applyFont="1" applyBorder="1" applyAlignment="1">
      <alignment horizontal="left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177" fontId="29" fillId="0" borderId="0" xfId="0" applyNumberFormat="1" applyFont="1" applyAlignment="1">
      <alignment horizontal="left"/>
    </xf>
    <xf numFmtId="186" fontId="16" fillId="0" borderId="28" xfId="0" applyNumberFormat="1" applyFont="1" applyBorder="1" applyAlignment="1">
      <alignment horizontal="center"/>
    </xf>
    <xf numFmtId="186" fontId="16" fillId="4" borderId="0" xfId="0" applyNumberFormat="1" applyFont="1" applyFill="1" applyAlignment="1">
      <alignment horizontal="center"/>
    </xf>
    <xf numFmtId="186" fontId="16" fillId="4" borderId="29" xfId="0" applyNumberFormat="1" applyFont="1" applyFill="1" applyBorder="1" applyAlignment="1">
      <alignment horizontal="center"/>
    </xf>
    <xf numFmtId="186" fontId="16" fillId="4" borderId="30" xfId="0" applyNumberFormat="1" applyFont="1" applyFill="1" applyBorder="1" applyAlignment="1">
      <alignment horizontal="center"/>
    </xf>
    <xf numFmtId="165" fontId="5" fillId="0" borderId="31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177" fontId="16" fillId="0" borderId="32" xfId="0" applyNumberFormat="1" applyFont="1" applyBorder="1"/>
    <xf numFmtId="177" fontId="16" fillId="2" borderId="33" xfId="0" applyNumberFormat="1" applyFont="1" applyFill="1" applyBorder="1"/>
    <xf numFmtId="177" fontId="16" fillId="2" borderId="24" xfId="0" applyNumberFormat="1" applyFont="1" applyFill="1" applyBorder="1"/>
    <xf numFmtId="0" fontId="16" fillId="0" borderId="0" xfId="0" applyFont="1" applyAlignment="1">
      <alignment horizontal="left" indent="1"/>
    </xf>
    <xf numFmtId="187" fontId="31" fillId="0" borderId="0" xfId="1" applyNumberFormat="1" applyFont="1" applyFill="1" applyBorder="1" applyAlignment="1">
      <alignment horizontal="right"/>
    </xf>
    <xf numFmtId="177" fontId="18" fillId="0" borderId="0" xfId="0" applyNumberFormat="1" applyFont="1" applyAlignment="1">
      <alignment horizontal="right"/>
    </xf>
    <xf numFmtId="177" fontId="16" fillId="2" borderId="0" xfId="0" applyNumberFormat="1" applyFont="1" applyFill="1" applyAlignment="1">
      <alignment horizontal="right"/>
    </xf>
    <xf numFmtId="168" fontId="18" fillId="0" borderId="0" xfId="0" applyNumberFormat="1" applyFont="1"/>
    <xf numFmtId="177" fontId="18" fillId="0" borderId="22" xfId="0" applyNumberFormat="1" applyFont="1" applyBorder="1" applyAlignment="1">
      <alignment horizontal="right"/>
    </xf>
    <xf numFmtId="177" fontId="18" fillId="2" borderId="22" xfId="0" applyNumberFormat="1" applyFont="1" applyFill="1" applyBorder="1" applyAlignment="1">
      <alignment horizontal="right"/>
    </xf>
    <xf numFmtId="177" fontId="16" fillId="2" borderId="22" xfId="0" applyNumberFormat="1" applyFont="1" applyFill="1" applyBorder="1" applyAlignment="1">
      <alignment horizontal="right"/>
    </xf>
    <xf numFmtId="165" fontId="15" fillId="0" borderId="0" xfId="0" applyNumberFormat="1" applyFont="1" applyAlignment="1">
      <alignment horizontal="right"/>
    </xf>
    <xf numFmtId="168" fontId="12" fillId="0" borderId="0" xfId="0" applyNumberFormat="1" applyFont="1"/>
    <xf numFmtId="168" fontId="12" fillId="2" borderId="0" xfId="0" applyNumberFormat="1" applyFont="1" applyFill="1"/>
    <xf numFmtId="0" fontId="13" fillId="2" borderId="0" xfId="0" applyFont="1" applyFill="1"/>
    <xf numFmtId="167" fontId="11" fillId="2" borderId="0" xfId="0" applyNumberFormat="1" applyFont="1" applyFill="1" applyAlignment="1">
      <alignment horizontal="right"/>
    </xf>
    <xf numFmtId="184" fontId="16" fillId="2" borderId="0" xfId="3" applyNumberFormat="1" applyFont="1" applyFill="1" applyBorder="1" applyAlignment="1">
      <alignment horizontal="right"/>
    </xf>
    <xf numFmtId="189" fontId="18" fillId="0" borderId="0" xfId="0" applyNumberFormat="1" applyFont="1"/>
    <xf numFmtId="189" fontId="16" fillId="2" borderId="0" xfId="0" applyNumberFormat="1" applyFont="1" applyFill="1"/>
    <xf numFmtId="177" fontId="18" fillId="0" borderId="0" xfId="0" applyNumberFormat="1" applyFont="1"/>
    <xf numFmtId="184" fontId="16" fillId="0" borderId="0" xfId="3" applyNumberFormat="1" applyFont="1" applyFill="1" applyBorder="1" applyAlignment="1">
      <alignment horizontal="right"/>
    </xf>
    <xf numFmtId="0" fontId="32" fillId="0" borderId="0" xfId="0" applyFont="1"/>
    <xf numFmtId="0" fontId="1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16" fillId="0" borderId="16" xfId="0" applyFont="1" applyBorder="1" applyAlignment="1">
      <alignment horizontal="left" indent="1"/>
    </xf>
    <xf numFmtId="0" fontId="32" fillId="0" borderId="17" xfId="0" applyFont="1" applyBorder="1"/>
    <xf numFmtId="177" fontId="16" fillId="2" borderId="18" xfId="0" applyNumberFormat="1" applyFont="1" applyFill="1" applyBorder="1"/>
    <xf numFmtId="190" fontId="33" fillId="0" borderId="0" xfId="4" applyNumberFormat="1" applyFont="1" applyAlignment="1" applyProtection="1">
      <alignment horizontal="center" vertical="center"/>
      <protection hidden="1"/>
    </xf>
    <xf numFmtId="175" fontId="34" fillId="2" borderId="17" xfId="0" applyNumberFormat="1" applyFont="1" applyFill="1" applyBorder="1" applyAlignment="1">
      <alignment horizontal="right"/>
    </xf>
    <xf numFmtId="0" fontId="16" fillId="0" borderId="21" xfId="0" applyFont="1" applyBorder="1" applyAlignment="1">
      <alignment horizontal="left" indent="1"/>
    </xf>
    <xf numFmtId="0" fontId="32" fillId="0" borderId="22" xfId="0" applyFont="1" applyBorder="1"/>
    <xf numFmtId="177" fontId="16" fillId="2" borderId="23" xfId="0" applyNumberFormat="1" applyFont="1" applyFill="1" applyBorder="1"/>
    <xf numFmtId="0" fontId="16" fillId="0" borderId="19" xfId="0" applyFont="1" applyBorder="1" applyAlignment="1">
      <alignment horizontal="left" indent="1"/>
    </xf>
    <xf numFmtId="175" fontId="34" fillId="2" borderId="0" xfId="0" applyNumberFormat="1" applyFont="1" applyFill="1" applyAlignment="1">
      <alignment horizontal="right"/>
    </xf>
    <xf numFmtId="177" fontId="16" fillId="2" borderId="20" xfId="0" applyNumberFormat="1" applyFont="1" applyFill="1" applyBorder="1"/>
    <xf numFmtId="0" fontId="36" fillId="0" borderId="0" xfId="0" applyFont="1"/>
    <xf numFmtId="0" fontId="37" fillId="0" borderId="0" xfId="0" quotePrefix="1" applyFont="1" applyAlignment="1">
      <alignment horizontal="right"/>
    </xf>
    <xf numFmtId="177" fontId="16" fillId="2" borderId="34" xfId="0" applyNumberFormat="1" applyFont="1" applyFill="1" applyBorder="1"/>
    <xf numFmtId="0" fontId="37" fillId="0" borderId="0" xfId="0" applyFont="1" applyAlignment="1">
      <alignment horizontal="right"/>
    </xf>
    <xf numFmtId="0" fontId="38" fillId="0" borderId="0" xfId="0" applyFont="1"/>
    <xf numFmtId="191" fontId="21" fillId="0" borderId="0" xfId="0" applyNumberFormat="1" applyFont="1"/>
    <xf numFmtId="192" fontId="21" fillId="0" borderId="0" xfId="0" applyNumberFormat="1" applyFont="1"/>
    <xf numFmtId="0" fontId="39" fillId="0" borderId="0" xfId="0" quotePrefix="1" applyFont="1" applyAlignment="1">
      <alignment horizontal="right"/>
    </xf>
    <xf numFmtId="185" fontId="4" fillId="0" borderId="18" xfId="1" applyNumberFormat="1" applyFont="1" applyFill="1" applyBorder="1" applyAlignment="1">
      <alignment horizontal="right"/>
    </xf>
    <xf numFmtId="185" fontId="16" fillId="0" borderId="23" xfId="1" applyNumberFormat="1" applyFont="1" applyFill="1" applyBorder="1" applyAlignment="1">
      <alignment horizontal="right"/>
    </xf>
    <xf numFmtId="186" fontId="0" fillId="0" borderId="0" xfId="0" applyNumberFormat="1"/>
    <xf numFmtId="194" fontId="0" fillId="0" borderId="0" xfId="0" applyNumberFormat="1"/>
    <xf numFmtId="182" fontId="0" fillId="0" borderId="0" xfId="0" applyNumberFormat="1"/>
    <xf numFmtId="195" fontId="0" fillId="0" borderId="0" xfId="0" applyNumberFormat="1"/>
    <xf numFmtId="37" fontId="40" fillId="0" borderId="0" xfId="0" applyNumberFormat="1" applyFont="1" applyAlignment="1">
      <alignment vertical="center"/>
    </xf>
    <xf numFmtId="0" fontId="11" fillId="0" borderId="0" xfId="2" applyFont="1"/>
    <xf numFmtId="0" fontId="12" fillId="0" borderId="0" xfId="0" applyFont="1"/>
    <xf numFmtId="172" fontId="12" fillId="0" borderId="0" xfId="0" applyNumberFormat="1" applyFont="1" applyAlignment="1">
      <alignment horizontal="right"/>
    </xf>
    <xf numFmtId="172" fontId="12" fillId="0" borderId="0" xfId="1" quotePrefix="1" applyNumberFormat="1" applyFont="1" applyFill="1" applyAlignment="1">
      <alignment horizontal="right"/>
    </xf>
    <xf numFmtId="172" fontId="12" fillId="0" borderId="0" xfId="1" quotePrefix="1" applyNumberFormat="1" applyFont="1" applyAlignment="1">
      <alignment horizontal="right"/>
    </xf>
    <xf numFmtId="171" fontId="12" fillId="0" borderId="0" xfId="0" applyNumberFormat="1" applyFont="1" applyAlignment="1">
      <alignment horizontal="right"/>
    </xf>
    <xf numFmtId="169" fontId="12" fillId="0" borderId="0" xfId="1" quotePrefix="1" applyNumberFormat="1" applyFont="1" applyFill="1" applyAlignment="1">
      <alignment horizontal="right"/>
    </xf>
    <xf numFmtId="175" fontId="0" fillId="0" borderId="0" xfId="0" applyNumberFormat="1" applyAlignment="1">
      <alignment horizontal="right"/>
    </xf>
    <xf numFmtId="175" fontId="16" fillId="0" borderId="19" xfId="0" applyNumberFormat="1" applyFont="1" applyBorder="1" applyAlignment="1">
      <alignment horizontal="right"/>
    </xf>
    <xf numFmtId="177" fontId="16" fillId="0" borderId="19" xfId="0" applyNumberFormat="1" applyFont="1" applyBorder="1" applyAlignment="1">
      <alignment horizontal="right"/>
    </xf>
    <xf numFmtId="177" fontId="1" fillId="0" borderId="0" xfId="0" applyNumberFormat="1" applyFont="1"/>
    <xf numFmtId="49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37" fontId="0" fillId="0" borderId="7" xfId="0" applyNumberFormat="1" applyBorder="1"/>
    <xf numFmtId="189" fontId="0" fillId="0" borderId="7" xfId="0" applyNumberFormat="1" applyBorder="1"/>
    <xf numFmtId="37" fontId="0" fillId="0" borderId="0" xfId="0" applyNumberFormat="1"/>
    <xf numFmtId="185" fontId="0" fillId="0" borderId="0" xfId="0" applyNumberFormat="1"/>
    <xf numFmtId="185" fontId="18" fillId="0" borderId="0" xfId="1" applyNumberFormat="1" applyFont="1" applyFill="1" applyBorder="1" applyAlignment="1">
      <alignment vertical="center"/>
    </xf>
    <xf numFmtId="189" fontId="0" fillId="0" borderId="0" xfId="0" applyNumberFormat="1"/>
    <xf numFmtId="49" fontId="16" fillId="0" borderId="0" xfId="0" applyNumberFormat="1" applyFont="1" applyAlignment="1">
      <alignment horizontal="left"/>
    </xf>
    <xf numFmtId="185" fontId="0" fillId="0" borderId="7" xfId="0" applyNumberFormat="1" applyBorder="1"/>
    <xf numFmtId="168" fontId="0" fillId="0" borderId="7" xfId="0" applyNumberFormat="1" applyBorder="1"/>
    <xf numFmtId="166" fontId="0" fillId="0" borderId="0" xfId="0" applyNumberFormat="1"/>
    <xf numFmtId="184" fontId="0" fillId="0" borderId="0" xfId="0" applyNumberFormat="1"/>
    <xf numFmtId="177" fontId="0" fillId="0" borderId="7" xfId="0" applyNumberFormat="1" applyBorder="1"/>
    <xf numFmtId="184" fontId="0" fillId="0" borderId="7" xfId="0" applyNumberFormat="1" applyBorder="1"/>
    <xf numFmtId="165" fontId="0" fillId="0" borderId="0" xfId="0" applyNumberFormat="1"/>
    <xf numFmtId="0" fontId="38" fillId="0" borderId="7" xfId="0" applyFont="1" applyBorder="1"/>
    <xf numFmtId="37" fontId="38" fillId="0" borderId="7" xfId="0" applyNumberFormat="1" applyFont="1" applyBorder="1"/>
    <xf numFmtId="37" fontId="38" fillId="0" borderId="0" xfId="0" applyNumberFormat="1" applyFont="1"/>
    <xf numFmtId="179" fontId="38" fillId="0" borderId="0" xfId="0" applyNumberFormat="1" applyFont="1"/>
    <xf numFmtId="180" fontId="38" fillId="0" borderId="0" xfId="0" applyNumberFormat="1" applyFont="1"/>
    <xf numFmtId="199" fontId="38" fillId="0" borderId="0" xfId="0" applyNumberFormat="1" applyFont="1"/>
    <xf numFmtId="200" fontId="38" fillId="0" borderId="0" xfId="0" applyNumberFormat="1" applyFont="1"/>
    <xf numFmtId="184" fontId="1" fillId="0" borderId="0" xfId="0" applyNumberFormat="1" applyFont="1"/>
    <xf numFmtId="0" fontId="42" fillId="0" borderId="0" xfId="0" applyFont="1"/>
    <xf numFmtId="177" fontId="12" fillId="0" borderId="0" xfId="0" applyNumberFormat="1" applyFont="1" applyAlignment="1">
      <alignment horizontal="right" vertical="center"/>
    </xf>
    <xf numFmtId="177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177" fontId="16" fillId="2" borderId="0" xfId="0" applyNumberFormat="1" applyFont="1" applyFill="1"/>
    <xf numFmtId="0" fontId="0" fillId="3" borderId="0" xfId="0" applyFill="1"/>
    <xf numFmtId="10" fontId="0" fillId="3" borderId="0" xfId="0" applyNumberFormat="1" applyFill="1"/>
    <xf numFmtId="43" fontId="1" fillId="0" borderId="0" xfId="0" applyNumberFormat="1" applyFont="1"/>
    <xf numFmtId="177" fontId="11" fillId="2" borderId="22" xfId="0" applyNumberFormat="1" applyFont="1" applyFill="1" applyBorder="1" applyAlignment="1">
      <alignment horizontal="right"/>
    </xf>
    <xf numFmtId="177" fontId="16" fillId="2" borderId="22" xfId="0" applyNumberFormat="1" applyFont="1" applyFill="1" applyBorder="1"/>
    <xf numFmtId="0" fontId="0" fillId="2" borderId="0" xfId="0" applyFill="1"/>
    <xf numFmtId="177" fontId="11" fillId="2" borderId="0" xfId="0" applyNumberFormat="1" applyFont="1" applyFill="1" applyAlignment="1">
      <alignment horizontal="right"/>
    </xf>
    <xf numFmtId="184" fontId="16" fillId="2" borderId="22" xfId="0" applyNumberFormat="1" applyFont="1" applyFill="1" applyBorder="1" applyAlignment="1">
      <alignment horizontal="right"/>
    </xf>
    <xf numFmtId="190" fontId="43" fillId="0" borderId="0" xfId="4" applyNumberFormat="1" applyFont="1" applyAlignment="1" applyProtection="1">
      <alignment horizontal="center" vertical="center"/>
      <protection hidden="1"/>
    </xf>
    <xf numFmtId="177" fontId="12" fillId="2" borderId="0" xfId="0" applyNumberFormat="1" applyFont="1" applyFill="1"/>
    <xf numFmtId="177" fontId="16" fillId="3" borderId="0" xfId="0" applyNumberFormat="1" applyFont="1" applyFill="1"/>
    <xf numFmtId="177" fontId="11" fillId="3" borderId="22" xfId="0" applyNumberFormat="1" applyFont="1" applyFill="1" applyBorder="1" applyAlignment="1">
      <alignment horizontal="right"/>
    </xf>
    <xf numFmtId="177" fontId="16" fillId="3" borderId="22" xfId="0" applyNumberFormat="1" applyFont="1" applyFill="1" applyBorder="1"/>
    <xf numFmtId="177" fontId="11" fillId="3" borderId="0" xfId="0" applyNumberFormat="1" applyFont="1" applyFill="1" applyAlignment="1">
      <alignment horizontal="right"/>
    </xf>
    <xf numFmtId="184" fontId="16" fillId="3" borderId="22" xfId="0" applyNumberFormat="1" applyFont="1" applyFill="1" applyBorder="1" applyAlignment="1">
      <alignment horizontal="right"/>
    </xf>
    <xf numFmtId="177" fontId="12" fillId="3" borderId="0" xfId="0" applyNumberFormat="1" applyFont="1" applyFill="1"/>
    <xf numFmtId="184" fontId="16" fillId="0" borderId="22" xfId="0" applyNumberFormat="1" applyFont="1" applyBorder="1" applyAlignment="1">
      <alignment horizontal="right"/>
    </xf>
    <xf numFmtId="177" fontId="12" fillId="3" borderId="17" xfId="0" applyNumberFormat="1" applyFont="1" applyFill="1" applyBorder="1" applyAlignment="1">
      <alignment horizontal="right" vertical="center"/>
    </xf>
    <xf numFmtId="177" fontId="12" fillId="3" borderId="7" xfId="0" applyNumberFormat="1" applyFont="1" applyFill="1" applyBorder="1"/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7" fontId="0" fillId="0" borderId="8" xfId="0" applyNumberFormat="1" applyBorder="1"/>
    <xf numFmtId="177" fontId="0" fillId="0" borderId="9" xfId="0" applyNumberFormat="1" applyBorder="1"/>
    <xf numFmtId="177" fontId="0" fillId="0" borderId="3" xfId="0" applyNumberFormat="1" applyBorder="1"/>
    <xf numFmtId="177" fontId="0" fillId="0" borderId="10" xfId="0" applyNumberFormat="1" applyBorder="1"/>
    <xf numFmtId="177" fontId="0" fillId="0" borderId="11" xfId="0" applyNumberFormat="1" applyBorder="1"/>
    <xf numFmtId="177" fontId="0" fillId="0" borderId="5" xfId="0" applyNumberFormat="1" applyBorder="1"/>
    <xf numFmtId="177" fontId="0" fillId="0" borderId="12" xfId="0" applyNumberFormat="1" applyBorder="1"/>
    <xf numFmtId="185" fontId="0" fillId="0" borderId="8" xfId="0" applyNumberFormat="1" applyBorder="1"/>
    <xf numFmtId="185" fontId="0" fillId="0" borderId="9" xfId="0" applyNumberFormat="1" applyBorder="1"/>
    <xf numFmtId="185" fontId="0" fillId="0" borderId="3" xfId="0" applyNumberFormat="1" applyBorder="1"/>
    <xf numFmtId="185" fontId="0" fillId="0" borderId="10" xfId="0" applyNumberFormat="1" applyBorder="1"/>
    <xf numFmtId="185" fontId="0" fillId="0" borderId="11" xfId="0" applyNumberFormat="1" applyBorder="1"/>
    <xf numFmtId="185" fontId="0" fillId="0" borderId="5" xfId="0" applyNumberFormat="1" applyBorder="1"/>
    <xf numFmtId="185" fontId="0" fillId="0" borderId="12" xfId="0" applyNumberFormat="1" applyBorder="1"/>
    <xf numFmtId="177" fontId="1" fillId="0" borderId="35" xfId="0" applyNumberFormat="1" applyFont="1" applyBorder="1"/>
    <xf numFmtId="185" fontId="1" fillId="0" borderId="35" xfId="0" applyNumberFormat="1" applyFont="1" applyBorder="1"/>
    <xf numFmtId="0" fontId="0" fillId="0" borderId="37" xfId="0" applyBorder="1"/>
    <xf numFmtId="164" fontId="0" fillId="0" borderId="38" xfId="0" applyNumberFormat="1" applyBorder="1"/>
    <xf numFmtId="164" fontId="0" fillId="0" borderId="39" xfId="0" applyNumberFormat="1" applyBorder="1"/>
    <xf numFmtId="0" fontId="0" fillId="0" borderId="39" xfId="0" applyBorder="1"/>
    <xf numFmtId="164" fontId="0" fillId="0" borderId="40" xfId="0" applyNumberFormat="1" applyBorder="1"/>
    <xf numFmtId="10" fontId="0" fillId="0" borderId="4" xfId="0" applyNumberFormat="1" applyBorder="1"/>
    <xf numFmtId="0" fontId="0" fillId="0" borderId="41" xfId="0" applyBorder="1"/>
    <xf numFmtId="17" fontId="0" fillId="0" borderId="42" xfId="0" applyNumberFormat="1" applyBorder="1"/>
    <xf numFmtId="17" fontId="0" fillId="0" borderId="43" xfId="0" applyNumberFormat="1" applyBorder="1"/>
    <xf numFmtId="0" fontId="0" fillId="0" borderId="44" xfId="0" applyBorder="1"/>
    <xf numFmtId="0" fontId="0" fillId="0" borderId="1" xfId="0" applyBorder="1"/>
    <xf numFmtId="0" fontId="1" fillId="0" borderId="1" xfId="0" applyFont="1" applyBorder="1"/>
    <xf numFmtId="0" fontId="0" fillId="0" borderId="45" xfId="0" applyBorder="1"/>
    <xf numFmtId="0" fontId="0" fillId="0" borderId="35" xfId="0" applyBorder="1"/>
    <xf numFmtId="164" fontId="0" fillId="0" borderId="36" xfId="0" applyNumberFormat="1" applyBorder="1"/>
    <xf numFmtId="10" fontId="0" fillId="0" borderId="2" xfId="0" applyNumberFormat="1" applyBorder="1"/>
    <xf numFmtId="0" fontId="0" fillId="0" borderId="4" xfId="0" applyBorder="1"/>
    <xf numFmtId="164" fontId="0" fillId="0" borderId="4" xfId="0" applyNumberFormat="1" applyBorder="1"/>
    <xf numFmtId="202" fontId="0" fillId="0" borderId="0" xfId="0" applyNumberFormat="1"/>
    <xf numFmtId="203" fontId="12" fillId="0" borderId="0" xfId="0" applyNumberFormat="1" applyFont="1" applyAlignment="1">
      <alignment horizontal="right"/>
    </xf>
    <xf numFmtId="203" fontId="16" fillId="0" borderId="0" xfId="0" applyNumberFormat="1" applyFont="1" applyAlignment="1">
      <alignment horizontal="right"/>
    </xf>
    <xf numFmtId="201" fontId="42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177" fontId="38" fillId="0" borderId="0" xfId="0" applyNumberFormat="1" applyFont="1"/>
    <xf numFmtId="49" fontId="38" fillId="0" borderId="0" xfId="0" applyNumberFormat="1" applyFont="1"/>
    <xf numFmtId="0" fontId="39" fillId="0" borderId="7" xfId="0" quotePrefix="1" applyFont="1" applyBorder="1" applyAlignment="1">
      <alignment horizontal="left" vertical="center"/>
    </xf>
    <xf numFmtId="0" fontId="39" fillId="0" borderId="0" xfId="0" quotePrefix="1" applyFont="1" applyAlignment="1">
      <alignment horizontal="left" vertical="center"/>
    </xf>
    <xf numFmtId="17" fontId="5" fillId="0" borderId="0" xfId="0" applyNumberFormat="1" applyFont="1" applyAlignment="1">
      <alignment horizontal="center"/>
    </xf>
    <xf numFmtId="0" fontId="0" fillId="0" borderId="9" xfId="0" applyBorder="1"/>
    <xf numFmtId="0" fontId="1" fillId="0" borderId="3" xfId="0" applyFont="1" applyBorder="1"/>
    <xf numFmtId="182" fontId="1" fillId="0" borderId="10" xfId="0" applyNumberFormat="1" applyFont="1" applyBorder="1"/>
    <xf numFmtId="0" fontId="1" fillId="0" borderId="11" xfId="0" applyFont="1" applyBorder="1"/>
    <xf numFmtId="182" fontId="1" fillId="0" borderId="12" xfId="0" applyNumberFormat="1" applyFont="1" applyBorder="1"/>
    <xf numFmtId="164" fontId="23" fillId="0" borderId="0" xfId="0" applyNumberFormat="1" applyFont="1"/>
    <xf numFmtId="164" fontId="45" fillId="0" borderId="2" xfId="0" applyNumberFormat="1" applyFont="1" applyBorder="1"/>
    <xf numFmtId="164" fontId="45" fillId="0" borderId="0" xfId="0" applyNumberFormat="1" applyFont="1"/>
    <xf numFmtId="164" fontId="45" fillId="0" borderId="1" xfId="0" applyNumberFormat="1" applyFont="1" applyBorder="1"/>
    <xf numFmtId="164" fontId="23" fillId="0" borderId="2" xfId="0" applyNumberFormat="1" applyFont="1" applyBorder="1"/>
    <xf numFmtId="206" fontId="42" fillId="0" borderId="0" xfId="0" applyNumberFormat="1" applyFon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17" fontId="6" fillId="0" borderId="0" xfId="0" applyNumberFormat="1" applyFont="1"/>
    <xf numFmtId="0" fontId="3" fillId="0" borderId="0" xfId="0" applyFont="1" applyAlignment="1">
      <alignment horizontal="center"/>
    </xf>
    <xf numFmtId="0" fontId="38" fillId="0" borderId="0" xfId="0" applyFont="1" applyAlignment="1">
      <alignment horizontal="right" vertical="center" textRotation="90"/>
    </xf>
    <xf numFmtId="37" fontId="46" fillId="5" borderId="0" xfId="0" applyNumberFormat="1" applyFont="1" applyFill="1" applyAlignment="1">
      <alignment vertical="center"/>
    </xf>
    <xf numFmtId="37" fontId="5" fillId="5" borderId="0" xfId="0" applyNumberFormat="1" applyFont="1" applyFill="1" applyAlignment="1">
      <alignment vertical="center"/>
    </xf>
    <xf numFmtId="37" fontId="6" fillId="5" borderId="0" xfId="0" applyNumberFormat="1" applyFont="1" applyFill="1" applyAlignment="1">
      <alignment vertical="center"/>
    </xf>
    <xf numFmtId="37" fontId="47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horizontal="right"/>
    </xf>
    <xf numFmtId="0" fontId="6" fillId="6" borderId="0" xfId="0" applyFont="1" applyFill="1"/>
    <xf numFmtId="0" fontId="5" fillId="6" borderId="0" xfId="0" applyFont="1" applyFill="1"/>
    <xf numFmtId="0" fontId="48" fillId="6" borderId="0" xfId="0" applyFont="1" applyFill="1" applyAlignment="1">
      <alignment horizontal="center"/>
    </xf>
    <xf numFmtId="0" fontId="48" fillId="6" borderId="0" xfId="0" applyFont="1" applyFill="1" applyAlignment="1">
      <alignment horizontal="center"/>
    </xf>
    <xf numFmtId="177" fontId="6" fillId="0" borderId="0" xfId="0" applyNumberFormat="1" applyFont="1"/>
    <xf numFmtId="0" fontId="0" fillId="0" borderId="0" xfId="0" applyAlignment="1">
      <alignment horizontal="center"/>
    </xf>
    <xf numFmtId="184" fontId="18" fillId="0" borderId="0" xfId="1" applyNumberFormat="1" applyFont="1" applyFill="1" applyBorder="1" applyAlignment="1">
      <alignment vertical="center"/>
    </xf>
    <xf numFmtId="174" fontId="23" fillId="0" borderId="0" xfId="0" applyNumberFormat="1" applyFont="1"/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209" fontId="23" fillId="0" borderId="0" xfId="0" applyNumberFormat="1" applyFont="1" applyAlignment="1">
      <alignment vertical="center"/>
    </xf>
    <xf numFmtId="0" fontId="49" fillId="0" borderId="0" xfId="0" applyFont="1"/>
    <xf numFmtId="210" fontId="38" fillId="0" borderId="0" xfId="0" applyNumberFormat="1" applyFont="1"/>
    <xf numFmtId="164" fontId="38" fillId="0" borderId="0" xfId="0" applyNumberFormat="1" applyFont="1"/>
    <xf numFmtId="164" fontId="38" fillId="0" borderId="7" xfId="0" applyNumberFormat="1" applyFont="1" applyBorder="1"/>
    <xf numFmtId="17" fontId="49" fillId="0" borderId="0" xfId="0" applyNumberFormat="1" applyFont="1"/>
    <xf numFmtId="37" fontId="1" fillId="0" borderId="0" xfId="0" applyNumberFormat="1" applyFont="1"/>
    <xf numFmtId="49" fontId="1" fillId="0" borderId="0" xfId="0" applyNumberFormat="1" applyFont="1" applyAlignment="1">
      <alignment vertical="center"/>
    </xf>
    <xf numFmtId="184" fontId="16" fillId="0" borderId="0" xfId="0" applyNumberFormat="1" applyFont="1"/>
    <xf numFmtId="184" fontId="15" fillId="0" borderId="0" xfId="0" applyNumberFormat="1" applyFont="1"/>
    <xf numFmtId="0" fontId="2" fillId="0" borderId="0" xfId="0" quotePrefix="1" applyFont="1" applyAlignment="1">
      <alignment horizontal="center" vertical="center"/>
    </xf>
    <xf numFmtId="0" fontId="37" fillId="0" borderId="0" xfId="0" quotePrefix="1" applyFont="1" applyAlignment="1">
      <alignment horizontal="center" vertical="center"/>
    </xf>
    <xf numFmtId="206" fontId="23" fillId="0" borderId="0" xfId="0" applyNumberFormat="1" applyFont="1"/>
    <xf numFmtId="193" fontId="23" fillId="0" borderId="0" xfId="0" applyNumberFormat="1" applyFont="1"/>
    <xf numFmtId="214" fontId="0" fillId="0" borderId="0" xfId="0" applyNumberFormat="1"/>
    <xf numFmtId="219" fontId="16" fillId="2" borderId="18" xfId="0" applyNumberFormat="1" applyFont="1" applyFill="1" applyBorder="1"/>
    <xf numFmtId="219" fontId="0" fillId="0" borderId="8" xfId="0" applyNumberFormat="1" applyBorder="1"/>
    <xf numFmtId="219" fontId="0" fillId="0" borderId="7" xfId="0" applyNumberFormat="1" applyBorder="1"/>
    <xf numFmtId="219" fontId="0" fillId="0" borderId="9" xfId="0" applyNumberFormat="1" applyBorder="1"/>
    <xf numFmtId="219" fontId="0" fillId="0" borderId="3" xfId="0" applyNumberFormat="1" applyBorder="1"/>
    <xf numFmtId="219" fontId="0" fillId="0" borderId="0" xfId="0" applyNumberFormat="1"/>
    <xf numFmtId="219" fontId="0" fillId="0" borderId="10" xfId="0" applyNumberFormat="1" applyBorder="1"/>
    <xf numFmtId="219" fontId="1" fillId="0" borderId="35" xfId="0" applyNumberFormat="1" applyFont="1" applyBorder="1"/>
    <xf numFmtId="219" fontId="0" fillId="0" borderId="11" xfId="0" applyNumberFormat="1" applyBorder="1"/>
    <xf numFmtId="219" fontId="0" fillId="0" borderId="5" xfId="0" applyNumberFormat="1" applyBorder="1"/>
    <xf numFmtId="219" fontId="0" fillId="0" borderId="12" xfId="0" applyNumberFormat="1" applyBorder="1"/>
    <xf numFmtId="0" fontId="0" fillId="0" borderId="0" xfId="0" applyBorder="1"/>
    <xf numFmtId="0" fontId="0" fillId="7" borderId="0" xfId="0" applyFill="1"/>
    <xf numFmtId="0" fontId="38" fillId="7" borderId="0" xfId="0" applyFont="1" applyFill="1"/>
    <xf numFmtId="164" fontId="0" fillId="7" borderId="0" xfId="0" applyNumberFormat="1" applyFill="1"/>
    <xf numFmtId="0" fontId="42" fillId="7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10" fontId="42" fillId="7" borderId="0" xfId="0" applyNumberFormat="1" applyFont="1" applyFill="1"/>
    <xf numFmtId="0" fontId="42" fillId="7" borderId="0" xfId="0" applyFont="1" applyFill="1"/>
    <xf numFmtId="43" fontId="0" fillId="7" borderId="0" xfId="0" applyNumberFormat="1" applyFill="1"/>
    <xf numFmtId="17" fontId="0" fillId="7" borderId="0" xfId="0" applyNumberFormat="1" applyFill="1"/>
    <xf numFmtId="10" fontId="0" fillId="7" borderId="0" xfId="0" applyNumberFormat="1" applyFill="1"/>
    <xf numFmtId="0" fontId="50" fillId="6" borderId="0" xfId="0" applyFont="1" applyFill="1"/>
    <xf numFmtId="168" fontId="16" fillId="0" borderId="4" xfId="0" applyNumberFormat="1" applyFont="1" applyBorder="1" applyAlignment="1">
      <alignment horizontal="center"/>
    </xf>
    <xf numFmtId="168" fontId="16" fillId="0" borderId="0" xfId="0" applyNumberFormat="1" applyFont="1" applyAlignment="1">
      <alignment horizontal="center"/>
    </xf>
    <xf numFmtId="220" fontId="1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 vertical="center"/>
    </xf>
    <xf numFmtId="168" fontId="16" fillId="0" borderId="0" xfId="0" applyNumberFormat="1" applyFont="1" applyAlignment="1">
      <alignment horizontal="right"/>
    </xf>
    <xf numFmtId="0" fontId="51" fillId="0" borderId="0" xfId="0" applyFont="1"/>
    <xf numFmtId="220" fontId="12" fillId="0" borderId="0" xfId="0" applyNumberFormat="1" applyFont="1" applyAlignment="1"/>
    <xf numFmtId="193" fontId="12" fillId="0" borderId="0" xfId="0" applyNumberFormat="1" applyFont="1" applyAlignment="1">
      <alignment horizontal="right"/>
    </xf>
    <xf numFmtId="168" fontId="0" fillId="0" borderId="0" xfId="0" applyNumberFormat="1"/>
    <xf numFmtId="166" fontId="52" fillId="0" borderId="0" xfId="0" applyNumberFormat="1" applyFont="1" applyAlignment="1">
      <alignment vertical="center"/>
    </xf>
    <xf numFmtId="168" fontId="12" fillId="0" borderId="0" xfId="0" applyNumberFormat="1" applyFont="1" applyAlignment="1">
      <alignment horizontal="right"/>
    </xf>
    <xf numFmtId="193" fontId="16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vertical="center"/>
    </xf>
    <xf numFmtId="0" fontId="0" fillId="0" borderId="0" xfId="0" applyFont="1"/>
    <xf numFmtId="9" fontId="1" fillId="0" borderId="0" xfId="0" applyNumberFormat="1" applyFont="1"/>
    <xf numFmtId="0" fontId="0" fillId="0" borderId="0" xfId="0" quotePrefix="1"/>
    <xf numFmtId="193" fontId="16" fillId="0" borderId="8" xfId="0" applyNumberFormat="1" applyFont="1" applyBorder="1" applyAlignment="1">
      <alignment horizontal="center"/>
    </xf>
    <xf numFmtId="182" fontId="0" fillId="0" borderId="9" xfId="0" applyNumberFormat="1" applyBorder="1" applyAlignment="1">
      <alignment horizontal="center"/>
    </xf>
    <xf numFmtId="193" fontId="16" fillId="0" borderId="3" xfId="0" applyNumberFormat="1" applyFont="1" applyBorder="1" applyAlignment="1">
      <alignment horizontal="center"/>
    </xf>
    <xf numFmtId="182" fontId="0" fillId="0" borderId="10" xfId="0" applyNumberFormat="1" applyBorder="1" applyAlignment="1">
      <alignment horizontal="center"/>
    </xf>
    <xf numFmtId="193" fontId="16" fillId="0" borderId="11" xfId="0" applyNumberFormat="1" applyFont="1" applyBorder="1" applyAlignment="1">
      <alignment horizontal="center"/>
    </xf>
    <xf numFmtId="182" fontId="0" fillId="0" borderId="12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12" xfId="0" applyBorder="1"/>
    <xf numFmtId="219" fontId="1" fillId="0" borderId="7" xfId="0" applyNumberFormat="1" applyFont="1" applyBorder="1" applyAlignment="1">
      <alignment horizontal="center"/>
    </xf>
    <xf numFmtId="219" fontId="1" fillId="0" borderId="0" xfId="0" applyNumberFormat="1" applyFont="1" applyBorder="1" applyAlignment="1">
      <alignment horizontal="center"/>
    </xf>
    <xf numFmtId="219" fontId="1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/>
    <xf numFmtId="0" fontId="1" fillId="0" borderId="7" xfId="0" applyFont="1" applyBorder="1"/>
    <xf numFmtId="0" fontId="0" fillId="0" borderId="11" xfId="0" applyFont="1" applyBorder="1"/>
    <xf numFmtId="0" fontId="39" fillId="0" borderId="0" xfId="0" quotePrefix="1" applyFont="1" applyBorder="1" applyAlignment="1">
      <alignment horizontal="right"/>
    </xf>
    <xf numFmtId="0" fontId="38" fillId="0" borderId="11" xfId="0" applyFont="1" applyBorder="1"/>
    <xf numFmtId="185" fontId="38" fillId="0" borderId="7" xfId="0" applyNumberFormat="1" applyFont="1" applyBorder="1" applyAlignment="1">
      <alignment horizontal="center"/>
    </xf>
    <xf numFmtId="185" fontId="38" fillId="0" borderId="9" xfId="0" applyNumberFormat="1" applyFont="1" applyBorder="1" applyAlignment="1">
      <alignment horizontal="center"/>
    </xf>
    <xf numFmtId="185" fontId="38" fillId="0" borderId="5" xfId="0" applyNumberFormat="1" applyFont="1" applyBorder="1" applyAlignment="1">
      <alignment horizontal="center"/>
    </xf>
    <xf numFmtId="185" fontId="38" fillId="0" borderId="12" xfId="0" applyNumberFormat="1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48" xfId="0" applyFont="1" applyBorder="1" applyAlignment="1">
      <alignment horizontal="center"/>
    </xf>
    <xf numFmtId="169" fontId="0" fillId="0" borderId="0" xfId="0" applyNumberForma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8" fontId="16" fillId="0" borderId="16" xfId="0" applyNumberFormat="1" applyFont="1" applyBorder="1" applyAlignment="1">
      <alignment horizontal="center"/>
    </xf>
    <xf numFmtId="168" fontId="16" fillId="0" borderId="17" xfId="0" applyNumberFormat="1" applyFont="1" applyBorder="1" applyAlignment="1">
      <alignment horizontal="center"/>
    </xf>
    <xf numFmtId="168" fontId="16" fillId="0" borderId="19" xfId="0" applyNumberFormat="1" applyFont="1" applyBorder="1" applyAlignment="1">
      <alignment horizontal="center"/>
    </xf>
    <xf numFmtId="168" fontId="16" fillId="0" borderId="21" xfId="0" applyNumberFormat="1" applyFont="1" applyBorder="1" applyAlignment="1">
      <alignment horizontal="center"/>
    </xf>
    <xf numFmtId="168" fontId="16" fillId="0" borderId="22" xfId="0" applyNumberFormat="1" applyFont="1" applyBorder="1" applyAlignment="1">
      <alignment horizontal="center"/>
    </xf>
    <xf numFmtId="0" fontId="0" fillId="0" borderId="3" xfId="0" applyFont="1" applyBorder="1"/>
    <xf numFmtId="0" fontId="1" fillId="0" borderId="0" xfId="0" applyFont="1" applyBorder="1"/>
    <xf numFmtId="177" fontId="1" fillId="0" borderId="9" xfId="0" applyNumberFormat="1" applyFont="1" applyBorder="1"/>
    <xf numFmtId="177" fontId="1" fillId="0" borderId="10" xfId="0" applyNumberFormat="1" applyFont="1" applyBorder="1"/>
    <xf numFmtId="177" fontId="1" fillId="0" borderId="12" xfId="0" applyNumberFormat="1" applyFont="1" applyBorder="1"/>
    <xf numFmtId="168" fontId="16" fillId="0" borderId="18" xfId="0" applyNumberFormat="1" applyFont="1" applyBorder="1" applyAlignment="1">
      <alignment horizontal="center"/>
    </xf>
    <xf numFmtId="168" fontId="16" fillId="0" borderId="20" xfId="0" applyNumberFormat="1" applyFont="1" applyBorder="1" applyAlignment="1">
      <alignment horizontal="center"/>
    </xf>
    <xf numFmtId="168" fontId="16" fillId="0" borderId="23" xfId="0" applyNumberFormat="1" applyFont="1" applyBorder="1" applyAlignment="1">
      <alignment horizontal="center"/>
    </xf>
    <xf numFmtId="0" fontId="53" fillId="0" borderId="0" xfId="0" applyFont="1" applyAlignment="1">
      <alignment horizontal="center" vertical="center"/>
    </xf>
    <xf numFmtId="0" fontId="2" fillId="0" borderId="7" xfId="0" quotePrefix="1" applyFont="1" applyBorder="1"/>
    <xf numFmtId="0" fontId="2" fillId="0" borderId="0" xfId="0" quotePrefix="1" applyFont="1" applyBorder="1"/>
    <xf numFmtId="0" fontId="2" fillId="0" borderId="5" xfId="0" quotePrefix="1" applyFont="1" applyBorder="1"/>
    <xf numFmtId="0" fontId="51" fillId="0" borderId="0" xfId="0" quotePrefix="1" applyFont="1"/>
  </cellXfs>
  <cellStyles count="5">
    <cellStyle name="Comma 2" xfId="3" xr:uid="{D296E782-0848-487A-A015-4DB362D3033C}"/>
    <cellStyle name="Normal" xfId="0" builtinId="0"/>
    <cellStyle name="Normal 2" xfId="4" xr:uid="{BB677D9B-D9BC-4CAF-AACD-ED949216BA14}"/>
    <cellStyle name="Normal_Wal-Mart Financial Statements" xfId="2" xr:uid="{2B901DD5-9F8B-4C9A-ACFE-106A64B86B88}"/>
    <cellStyle name="Percent" xfId="1" builtinId="5"/>
  </cellStyles>
  <dxfs count="20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27B7-CFEF-4FD0-A7A3-4F61D223459A}">
  <dimension ref="A1:Y33"/>
  <sheetViews>
    <sheetView showGridLines="0" zoomScale="85" zoomScaleNormal="85" workbookViewId="0">
      <selection activeCell="L29" sqref="L29"/>
    </sheetView>
  </sheetViews>
  <sheetFormatPr defaultRowHeight="14.4" x14ac:dyDescent="0.3"/>
  <cols>
    <col min="1" max="1" width="2.88671875" customWidth="1"/>
    <col min="3" max="5" width="11.21875" bestFit="1" customWidth="1"/>
    <col min="6" max="6" width="11.44140625" bestFit="1" customWidth="1"/>
    <col min="7" max="8" width="11.21875" bestFit="1" customWidth="1"/>
    <col min="11" max="11" width="9.5546875" customWidth="1"/>
    <col min="12" max="12" width="9" bestFit="1" customWidth="1"/>
    <col min="13" max="13" width="9.44140625" bestFit="1" customWidth="1"/>
    <col min="14" max="16" width="9" bestFit="1" customWidth="1"/>
    <col min="19" max="19" width="9" bestFit="1" customWidth="1"/>
    <col min="21" max="21" width="9" bestFit="1" customWidth="1"/>
    <col min="23" max="23" width="9" bestFit="1" customWidth="1"/>
  </cols>
  <sheetData>
    <row r="1" spans="1:25" x14ac:dyDescent="0.3">
      <c r="C1" s="121"/>
      <c r="D1" s="65"/>
      <c r="E1" s="65"/>
      <c r="F1" s="65"/>
      <c r="G1" s="65"/>
      <c r="H1" s="65"/>
      <c r="R1" s="407"/>
    </row>
    <row r="2" spans="1:25" x14ac:dyDescent="0.3">
      <c r="A2" t="s">
        <v>90</v>
      </c>
      <c r="B2" s="369" t="s">
        <v>562</v>
      </c>
      <c r="C2" s="368"/>
      <c r="D2" s="368"/>
      <c r="E2" s="368"/>
      <c r="F2" s="368"/>
      <c r="G2" s="371"/>
      <c r="H2" s="371"/>
      <c r="I2" s="371"/>
      <c r="J2" s="371"/>
      <c r="K2" s="371"/>
      <c r="L2" s="371"/>
      <c r="M2" s="371"/>
      <c r="N2" s="371"/>
      <c r="O2" s="371"/>
      <c r="P2" s="371"/>
      <c r="R2" s="407"/>
    </row>
    <row r="3" spans="1:25" x14ac:dyDescent="0.3">
      <c r="B3" s="4" t="s">
        <v>645</v>
      </c>
      <c r="C3" s="65"/>
      <c r="D3" s="121"/>
      <c r="E3" s="121"/>
      <c r="F3" s="121"/>
      <c r="G3" s="121"/>
      <c r="H3" s="121"/>
      <c r="R3" s="407"/>
    </row>
    <row r="4" spans="1:25" x14ac:dyDescent="0.3">
      <c r="C4" s="236"/>
      <c r="D4" s="121"/>
      <c r="E4" s="121"/>
      <c r="F4" s="121"/>
      <c r="G4" s="121"/>
      <c r="H4" s="121"/>
      <c r="R4" s="407"/>
    </row>
    <row r="5" spans="1:25" x14ac:dyDescent="0.3">
      <c r="C5" s="235"/>
      <c r="D5" s="121"/>
      <c r="E5" s="121"/>
      <c r="F5" s="121"/>
      <c r="G5" s="121"/>
      <c r="H5" s="121"/>
      <c r="R5" s="407"/>
    </row>
    <row r="6" spans="1:25" x14ac:dyDescent="0.3">
      <c r="C6" s="235"/>
      <c r="D6" s="121"/>
      <c r="E6" s="121"/>
      <c r="F6" s="300" t="s">
        <v>332</v>
      </c>
      <c r="G6" s="121"/>
      <c r="H6" s="121"/>
      <c r="N6" s="300" t="s">
        <v>443</v>
      </c>
      <c r="R6" s="407"/>
    </row>
    <row r="7" spans="1:25" x14ac:dyDescent="0.3">
      <c r="F7" s="299" t="s">
        <v>392</v>
      </c>
      <c r="N7" s="299" t="s">
        <v>392</v>
      </c>
      <c r="R7" s="407"/>
    </row>
    <row r="8" spans="1:25" x14ac:dyDescent="0.3">
      <c r="C8" s="372">
        <f ca="1">Model!D546</f>
        <v>66837912.144113183</v>
      </c>
      <c r="D8" s="256">
        <f>Model!E546</f>
        <v>3.7290889380929837E-3</v>
      </c>
      <c r="E8" s="256">
        <f>Model!F546</f>
        <v>4.9629315732038215E-3</v>
      </c>
      <c r="F8" s="256">
        <f>Model!G546</f>
        <v>6.192246325636086E-3</v>
      </c>
      <c r="G8" s="256">
        <f>Model!H546</f>
        <v>7.4170717777328754E-3</v>
      </c>
      <c r="H8" s="256">
        <f>Model!I546</f>
        <v>8.6374459977134332E-3</v>
      </c>
      <c r="L8" s="256">
        <f>Model!M546</f>
        <v>3.7290889380929837E-3</v>
      </c>
      <c r="M8" s="256">
        <f>Model!N546</f>
        <v>4.9629315732038215E-3</v>
      </c>
      <c r="N8" s="256">
        <f>Model!O546</f>
        <v>6.192246325636086E-3</v>
      </c>
      <c r="O8" s="256">
        <f>Model!P546</f>
        <v>7.4170717777328754E-3</v>
      </c>
      <c r="P8" s="256">
        <f>Model!Q546</f>
        <v>8.6374459977134332E-3</v>
      </c>
      <c r="R8" s="407" t="s">
        <v>598</v>
      </c>
    </row>
    <row r="9" spans="1:25" x14ac:dyDescent="0.3">
      <c r="B9" s="362" t="s">
        <v>322</v>
      </c>
      <c r="C9" s="256">
        <f>Model!D547</f>
        <v>1.8244601098569957E-2</v>
      </c>
      <c r="D9" s="301">
        <f>Model!E547</f>
        <v>69393179.789220795</v>
      </c>
      <c r="E9" s="264">
        <f>Model!F547</f>
        <v>75631955.240292057</v>
      </c>
      <c r="F9" s="264">
        <f>Model!G547</f>
        <v>83118184.65280351</v>
      </c>
      <c r="G9" s="264">
        <f>Model!H547</f>
        <v>92267688.462188989</v>
      </c>
      <c r="H9" s="302">
        <f>Model!I547</f>
        <v>103704197.28786337</v>
      </c>
      <c r="J9" s="362" t="s">
        <v>322</v>
      </c>
      <c r="K9" s="256">
        <f>Model!L547</f>
        <v>1.8244601098569957E-2</v>
      </c>
      <c r="L9" s="396">
        <f>Model!M547</f>
        <v>2752.2581026230446</v>
      </c>
      <c r="M9" s="397">
        <f>Model!N547</f>
        <v>2992.8402193541592</v>
      </c>
      <c r="N9" s="397">
        <f>Model!O547</f>
        <v>3281.5271471850806</v>
      </c>
      <c r="O9" s="397">
        <f>Model!P547</f>
        <v>3634.3539175608894</v>
      </c>
      <c r="P9" s="398">
        <f>Model!Q547</f>
        <v>4075.3730763482713</v>
      </c>
      <c r="R9" s="407"/>
      <c r="S9" t="s">
        <v>599</v>
      </c>
      <c r="U9" t="s">
        <v>600</v>
      </c>
      <c r="W9" t="s">
        <v>602</v>
      </c>
      <c r="Y9" t="s">
        <v>601</v>
      </c>
    </row>
    <row r="10" spans="1:25" x14ac:dyDescent="0.3">
      <c r="B10" s="362"/>
      <c r="C10" s="256">
        <f>Model!D548</f>
        <v>2.0015981411193762E-2</v>
      </c>
      <c r="D10" s="303">
        <f>Model!E548</f>
        <v>61969609.529460981</v>
      </c>
      <c r="E10" s="121">
        <f>Model!F548</f>
        <v>66865973.963093422</v>
      </c>
      <c r="F10" s="121">
        <f>Model!G548</f>
        <v>72613618.238533422</v>
      </c>
      <c r="G10" s="121">
        <f>Model!H548</f>
        <v>79455767.266201779</v>
      </c>
      <c r="H10" s="304">
        <f>Model!I548</f>
        <v>87738056.416705623</v>
      </c>
      <c r="J10" s="362"/>
      <c r="K10" s="256">
        <f>Model!L548</f>
        <v>2.0015981411193762E-2</v>
      </c>
      <c r="L10" s="399">
        <f>Model!M548</f>
        <v>2465.9874617253195</v>
      </c>
      <c r="M10" s="400">
        <f>Model!N548</f>
        <v>2654.8029959545511</v>
      </c>
      <c r="N10" s="400">
        <f>Model!O548</f>
        <v>2876.4459188081682</v>
      </c>
      <c r="O10" s="400">
        <f>Model!P548</f>
        <v>3140.2955651011021</v>
      </c>
      <c r="P10" s="401">
        <f>Model!Q548</f>
        <v>3459.6804621589395</v>
      </c>
      <c r="R10" s="407"/>
      <c r="S10" s="65">
        <v>7.7499999999999999E-2</v>
      </c>
      <c r="U10" s="65">
        <f>((1+S10)^(1/4))-1</f>
        <v>1.8836088191488631E-2</v>
      </c>
      <c r="W10" s="65">
        <v>1.4999999999999999E-2</v>
      </c>
      <c r="Y10" s="65">
        <f>((1+W10)^(1/4))-1</f>
        <v>3.7290889380929837E-3</v>
      </c>
    </row>
    <row r="11" spans="1:25" x14ac:dyDescent="0.3">
      <c r="B11" s="362"/>
      <c r="C11" s="256">
        <f>Model!D549</f>
        <v>2.1231268905577805E-2</v>
      </c>
      <c r="D11" s="303">
        <f>Model!E549</f>
        <v>57745560.718363054</v>
      </c>
      <c r="E11" s="121">
        <f>Model!F549</f>
        <v>61955930.749948747</v>
      </c>
      <c r="F11" s="315">
        <f>Model!G549</f>
        <v>66837912.144113183</v>
      </c>
      <c r="G11" s="121">
        <f>Model!H549</f>
        <v>72566198.881918937</v>
      </c>
      <c r="H11" s="304">
        <f>Model!I549</f>
        <v>79381822.523194119</v>
      </c>
      <c r="J11" s="362"/>
      <c r="K11" s="256">
        <f>Model!L549</f>
        <v>2.1231268905577805E-2</v>
      </c>
      <c r="L11" s="399">
        <f>Model!M549</f>
        <v>2303.0980273933001</v>
      </c>
      <c r="M11" s="400">
        <f>Model!N549</f>
        <v>2465.4599752409667</v>
      </c>
      <c r="N11" s="402">
        <f>Model!O549</f>
        <v>2653.7208650359858</v>
      </c>
      <c r="O11" s="400">
        <f>Model!P549</f>
        <v>2874.617314897383</v>
      </c>
      <c r="P11" s="401">
        <f>Model!Q549</f>
        <v>3137.4440787904564</v>
      </c>
      <c r="R11" s="407"/>
      <c r="S11" s="65">
        <v>8.2500000000000004E-2</v>
      </c>
      <c r="U11" s="65">
        <f>((1+S11)^(1/4))-1</f>
        <v>2.0015981411193762E-2</v>
      </c>
      <c r="W11" s="65">
        <v>0.02</v>
      </c>
      <c r="Y11" s="65">
        <f>((1+W11)^(1/4))-1</f>
        <v>4.9629315732038215E-3</v>
      </c>
    </row>
    <row r="12" spans="1:25" x14ac:dyDescent="0.3">
      <c r="B12" s="362"/>
      <c r="C12" s="256">
        <f>Model!D550</f>
        <v>2.294793456109856E-2</v>
      </c>
      <c r="D12" s="303">
        <f>Model!E550</f>
        <v>52688994.854043469</v>
      </c>
      <c r="E12" s="121">
        <f>Model!F550</f>
        <v>56150766.46822843</v>
      </c>
      <c r="F12" s="121">
        <f>Model!G550</f>
        <v>60106861.905455828</v>
      </c>
      <c r="G12" s="121">
        <f>Model!H550</f>
        <v>64671357.588974684</v>
      </c>
      <c r="H12" s="304">
        <f>Model!I550</f>
        <v>69996355.393954158</v>
      </c>
      <c r="J12" s="362"/>
      <c r="K12" s="256">
        <f>Model!L550</f>
        <v>2.294793456109856E-2</v>
      </c>
      <c r="L12" s="399">
        <f>Model!M550</f>
        <v>2108.1047424820094</v>
      </c>
      <c r="M12" s="400">
        <f>Model!N550</f>
        <v>2241.5989432449651</v>
      </c>
      <c r="N12" s="400">
        <f>Model!O550</f>
        <v>2394.1554540126417</v>
      </c>
      <c r="O12" s="400">
        <f>Model!P550</f>
        <v>2570.1733347591658</v>
      </c>
      <c r="P12" s="401">
        <f>Model!Q550</f>
        <v>2775.5179979158629</v>
      </c>
      <c r="R12" s="407"/>
      <c r="S12" s="65">
        <f>Inputs!N83</f>
        <v>8.7668160891869518E-2</v>
      </c>
      <c r="U12" s="65">
        <f>((1+S12)^(1/4))-1</f>
        <v>2.1231268905577805E-2</v>
      </c>
      <c r="W12" s="65">
        <v>2.5000000000000001E-2</v>
      </c>
      <c r="Y12" s="65">
        <f>((1+W12)^(1/4))-1</f>
        <v>6.192246325636086E-3</v>
      </c>
    </row>
    <row r="13" spans="1:25" x14ac:dyDescent="0.3">
      <c r="B13" s="362"/>
      <c r="C13" s="256">
        <f>Model!D551</f>
        <v>2.4695076595959931E-2</v>
      </c>
      <c r="D13" s="305">
        <f>Model!E551</f>
        <v>48392772.223465912</v>
      </c>
      <c r="E13" s="306">
        <f>Model!F551</f>
        <v>51279555.029414169</v>
      </c>
      <c r="F13" s="306">
        <f>Model!G551</f>
        <v>54538631.801941864</v>
      </c>
      <c r="G13" s="306">
        <f>Model!H551</f>
        <v>58247030.398453951</v>
      </c>
      <c r="H13" s="307">
        <f>Model!I551</f>
        <v>62504601.725217707</v>
      </c>
      <c r="J13" s="362"/>
      <c r="K13" s="256">
        <f>Model!L551</f>
        <v>2.4695076595959931E-2</v>
      </c>
      <c r="L13" s="403">
        <f>Model!M551</f>
        <v>1942.4321128900938</v>
      </c>
      <c r="M13" s="404">
        <f>Model!N551</f>
        <v>2053.7533687110199</v>
      </c>
      <c r="N13" s="404">
        <f>Model!O551</f>
        <v>2179.4311711376627</v>
      </c>
      <c r="O13" s="404">
        <f>Model!P551</f>
        <v>2322.4358987526589</v>
      </c>
      <c r="P13" s="405">
        <f>Model!Q551</f>
        <v>2486.6180415400936</v>
      </c>
      <c r="R13" s="407"/>
      <c r="S13" s="65">
        <v>9.5000000000000001E-2</v>
      </c>
      <c r="U13" s="65">
        <f>((1+S13)^(1/4))-1</f>
        <v>2.294793456109856E-2</v>
      </c>
      <c r="W13" s="65">
        <v>0.03</v>
      </c>
      <c r="Y13" s="65">
        <f>((1+W13)^(1/4))-1</f>
        <v>7.4170717777328754E-3</v>
      </c>
    </row>
    <row r="14" spans="1:25" x14ac:dyDescent="0.3">
      <c r="R14" s="407"/>
      <c r="S14" s="65">
        <v>0.10249999999999999</v>
      </c>
      <c r="U14" s="65">
        <f>((1+S14)^(1/4))-1</f>
        <v>2.4695076595959931E-2</v>
      </c>
      <c r="W14" s="65">
        <v>3.5000000000000003E-2</v>
      </c>
      <c r="Y14" s="65">
        <f>((1+W14)^(1/4))-1</f>
        <v>8.6374459977134332E-3</v>
      </c>
    </row>
    <row r="15" spans="1:25" x14ac:dyDescent="0.3">
      <c r="R15" s="407"/>
    </row>
    <row r="16" spans="1:25" x14ac:dyDescent="0.3">
      <c r="F16" s="300" t="s">
        <v>337</v>
      </c>
      <c r="N16" s="300" t="s">
        <v>444</v>
      </c>
      <c r="R16" s="407"/>
    </row>
    <row r="17" spans="1:18" x14ac:dyDescent="0.3">
      <c r="F17" s="299" t="s">
        <v>392</v>
      </c>
      <c r="N17" s="299" t="s">
        <v>392</v>
      </c>
      <c r="R17" s="407"/>
    </row>
    <row r="18" spans="1:18" x14ac:dyDescent="0.3">
      <c r="D18" s="256">
        <f>Model!E556</f>
        <v>3.7290889380929837E-3</v>
      </c>
      <c r="E18" s="256">
        <f>Model!F556</f>
        <v>4.9629315732038215E-3</v>
      </c>
      <c r="F18" s="256">
        <f>Model!G556</f>
        <v>6.192246325636086E-3</v>
      </c>
      <c r="G18" s="256">
        <f>Model!H556</f>
        <v>7.4170717777328754E-3</v>
      </c>
      <c r="H18" s="256">
        <f>Model!I556</f>
        <v>8.6374459977134332E-3</v>
      </c>
      <c r="L18" s="256">
        <f>Model!M556</f>
        <v>3.7290889380929837E-3</v>
      </c>
      <c r="M18" s="256">
        <f>Model!N556</f>
        <v>4.9629315732038215E-3</v>
      </c>
      <c r="N18" s="256">
        <f>Model!O556</f>
        <v>6.192246325636086E-3</v>
      </c>
      <c r="O18" s="256">
        <f>Model!P556</f>
        <v>7.4170717777328754E-3</v>
      </c>
      <c r="P18" s="256">
        <f>Model!Q556</f>
        <v>8.6374459977134332E-3</v>
      </c>
      <c r="R18" s="407"/>
    </row>
    <row r="19" spans="1:18" x14ac:dyDescent="0.3">
      <c r="B19" s="362" t="s">
        <v>322</v>
      </c>
      <c r="C19" s="256">
        <f>Model!D557</f>
        <v>1.8244601098569957E-2</v>
      </c>
      <c r="D19" s="301">
        <f>Model!E557</f>
        <v>71371557.117220789</v>
      </c>
      <c r="E19" s="264">
        <f>Model!F557</f>
        <v>77610332.568292052</v>
      </c>
      <c r="F19" s="264">
        <f>Model!G557</f>
        <v>85096561.980803505</v>
      </c>
      <c r="G19" s="264">
        <f>Model!H557</f>
        <v>94246065.790188983</v>
      </c>
      <c r="H19" s="302">
        <f>Model!I557</f>
        <v>105682574.61586337</v>
      </c>
      <c r="J19" s="362" t="s">
        <v>322</v>
      </c>
      <c r="K19" s="256">
        <f>Model!L557</f>
        <v>1.8244601098569957E-2</v>
      </c>
      <c r="L19" s="308">
        <f>Model!M557</f>
        <v>0.17117366069065731</v>
      </c>
      <c r="M19" s="260">
        <f>Model!N557</f>
        <v>0.27354902951240812</v>
      </c>
      <c r="N19" s="260">
        <f>Model!O557</f>
        <v>0.39639453071705555</v>
      </c>
      <c r="O19" s="260">
        <f>Model!P557</f>
        <v>0.54653358194080393</v>
      </c>
      <c r="P19" s="309">
        <f>Model!Q557</f>
        <v>0.73420130908437087</v>
      </c>
      <c r="R19" s="407"/>
    </row>
    <row r="20" spans="1:18" x14ac:dyDescent="0.3">
      <c r="B20" s="362"/>
      <c r="C20" s="256">
        <f>Model!D558</f>
        <v>2.0015981411193762E-2</v>
      </c>
      <c r="D20" s="303">
        <f>Model!E558</f>
        <v>63947986.857460983</v>
      </c>
      <c r="E20" s="121">
        <f>Model!F558</f>
        <v>68844351.291093424</v>
      </c>
      <c r="F20" s="121">
        <f>Model!G558</f>
        <v>74591995.566533417</v>
      </c>
      <c r="G20" s="121">
        <f>Model!H558</f>
        <v>81434144.594201773</v>
      </c>
      <c r="H20" s="304">
        <f>Model!I558</f>
        <v>89716433.744705617</v>
      </c>
      <c r="J20" s="362"/>
      <c r="K20" s="256">
        <f>Model!L558</f>
        <v>2.0015981411193762E-2</v>
      </c>
      <c r="L20" s="310">
        <f>Model!M558</f>
        <v>4.9356366691625242E-2</v>
      </c>
      <c r="M20" s="256">
        <f>Model!N558</f>
        <v>0.12970340253385149</v>
      </c>
      <c r="N20" s="256">
        <f>Model!O558</f>
        <v>0.22401953991836954</v>
      </c>
      <c r="O20" s="256">
        <f>Model!P558</f>
        <v>0.33629598514940517</v>
      </c>
      <c r="P20" s="311">
        <f>Model!Q558</f>
        <v>0.47220445198252747</v>
      </c>
      <c r="R20" s="407"/>
    </row>
    <row r="21" spans="1:18" x14ac:dyDescent="0.3">
      <c r="B21" s="362"/>
      <c r="C21" s="256">
        <f>Model!D559</f>
        <v>2.1231268905577805E-2</v>
      </c>
      <c r="D21" s="303">
        <f>Model!E559</f>
        <v>59723938.046363056</v>
      </c>
      <c r="E21" s="121">
        <f>Model!F559</f>
        <v>63934308.077948749</v>
      </c>
      <c r="F21" s="315">
        <f>Model!G559</f>
        <v>68816289.472113177</v>
      </c>
      <c r="G21" s="121">
        <f>Model!H559</f>
        <v>74544576.209918931</v>
      </c>
      <c r="H21" s="304">
        <f>Model!I559</f>
        <v>81360199.851194113</v>
      </c>
      <c r="J21" s="362"/>
      <c r="K21" s="256">
        <f>Model!L559</f>
        <v>2.1231268905577805E-2</v>
      </c>
      <c r="L21" s="310">
        <f>Model!M559</f>
        <v>-1.9958286215617016E-2</v>
      </c>
      <c r="M21" s="256">
        <f>Model!N559</f>
        <v>4.9131904357858192E-2</v>
      </c>
      <c r="N21" s="316">
        <f>Model!O559</f>
        <v>0.12924292129190884</v>
      </c>
      <c r="O21" s="256">
        <f>Model!P559</f>
        <v>0.22324141059463098</v>
      </c>
      <c r="P21" s="311">
        <f>Model!Q559</f>
        <v>0.33508258671934321</v>
      </c>
      <c r="R21" s="407"/>
    </row>
    <row r="22" spans="1:18" x14ac:dyDescent="0.3">
      <c r="B22" s="362"/>
      <c r="C22" s="256">
        <f>Model!D560</f>
        <v>2.294793456109856E-2</v>
      </c>
      <c r="D22" s="303">
        <f>Model!E560</f>
        <v>54667372.18204347</v>
      </c>
      <c r="E22" s="121">
        <f>Model!F560</f>
        <v>58129143.796228431</v>
      </c>
      <c r="F22" s="121">
        <f>Model!G560</f>
        <v>62085239.233455829</v>
      </c>
      <c r="G22" s="121">
        <f>Model!H560</f>
        <v>66649734.916974686</v>
      </c>
      <c r="H22" s="304">
        <f>Model!I560</f>
        <v>71974732.721954152</v>
      </c>
      <c r="J22" s="362"/>
      <c r="K22" s="256">
        <f>Model!L560</f>
        <v>2.294793456109856E-2</v>
      </c>
      <c r="L22" s="310">
        <f>Model!M560</f>
        <v>-0.10293415213531509</v>
      </c>
      <c r="M22" s="256">
        <f>Model!N560</f>
        <v>-4.6128109257461691E-2</v>
      </c>
      <c r="N22" s="256">
        <f>Model!O560</f>
        <v>1.8789554898996474E-2</v>
      </c>
      <c r="O22" s="256">
        <f>Model!P560</f>
        <v>9.3690780748581171E-2</v>
      </c>
      <c r="P22" s="311">
        <f>Model!Q560</f>
        <v>0.18107148847483523</v>
      </c>
      <c r="R22" s="407"/>
    </row>
    <row r="23" spans="1:18" x14ac:dyDescent="0.3">
      <c r="B23" s="362"/>
      <c r="C23" s="256">
        <f>Model!D561</f>
        <v>2.4695076595959931E-2</v>
      </c>
      <c r="D23" s="305">
        <f>Model!E561</f>
        <v>50371149.551465914</v>
      </c>
      <c r="E23" s="306">
        <f>Model!F561</f>
        <v>53257932.357414171</v>
      </c>
      <c r="F23" s="306">
        <f>Model!G561</f>
        <v>56517009.129941866</v>
      </c>
      <c r="G23" s="306">
        <f>Model!H561</f>
        <v>60225407.726453952</v>
      </c>
      <c r="H23" s="307">
        <f>Model!I561</f>
        <v>64482979.053217709</v>
      </c>
      <c r="J23" s="362"/>
      <c r="K23" s="256">
        <f>Model!L561</f>
        <v>2.4695076595959931E-2</v>
      </c>
      <c r="L23" s="312">
        <f>Model!M561</f>
        <v>-0.1734331434510239</v>
      </c>
      <c r="M23" s="313">
        <f>Model!N561</f>
        <v>-0.12606239629318305</v>
      </c>
      <c r="N23" s="313">
        <f>Model!O561</f>
        <v>-7.2582480366952029E-2</v>
      </c>
      <c r="O23" s="313">
        <f>Model!P561</f>
        <v>-1.1729404786102626E-2</v>
      </c>
      <c r="P23" s="314">
        <f>Model!Q561</f>
        <v>5.8135336825571704E-2</v>
      </c>
      <c r="R23" s="407"/>
    </row>
    <row r="24" spans="1:18" x14ac:dyDescent="0.3">
      <c r="R24" s="407"/>
    </row>
    <row r="25" spans="1:18" x14ac:dyDescent="0.3">
      <c r="R25" s="407"/>
    </row>
    <row r="26" spans="1:18" ht="16.399999999999999" x14ac:dyDescent="0.35">
      <c r="A26" t="s">
        <v>90</v>
      </c>
      <c r="C26" s="479"/>
      <c r="D26" s="39"/>
      <c r="R26" s="407"/>
    </row>
    <row r="27" spans="1:18" ht="16.399999999999999" x14ac:dyDescent="0.35">
      <c r="C27" s="39"/>
      <c r="D27" s="39"/>
      <c r="E27" s="480" t="s">
        <v>635</v>
      </c>
      <c r="F27" s="480" t="s">
        <v>99</v>
      </c>
      <c r="G27" s="480" t="s">
        <v>99</v>
      </c>
      <c r="R27" s="407"/>
    </row>
    <row r="28" spans="1:18" ht="16.399999999999999" x14ac:dyDescent="0.35">
      <c r="C28" s="23"/>
      <c r="D28" s="23"/>
      <c r="E28" s="480" t="s">
        <v>636</v>
      </c>
      <c r="F28" s="480" t="s">
        <v>636</v>
      </c>
      <c r="G28" s="480" t="s">
        <v>637</v>
      </c>
      <c r="R28" s="408" t="s">
        <v>633</v>
      </c>
    </row>
    <row r="29" spans="1:18" x14ac:dyDescent="0.3">
      <c r="C29" s="495" t="s">
        <v>638</v>
      </c>
      <c r="D29" s="481">
        <v>1</v>
      </c>
      <c r="E29" s="482">
        <f>Model!H547</f>
        <v>92267688.462188989</v>
      </c>
      <c r="F29" s="483">
        <f>Model!H557</f>
        <v>94246065.790188983</v>
      </c>
      <c r="G29" s="492">
        <f>F29/Inputs!$G$89</f>
        <v>3634.3539175608894</v>
      </c>
      <c r="J29" s="456" t="s">
        <v>632</v>
      </c>
      <c r="K29" s="457"/>
      <c r="L29" s="496" t="s">
        <v>646</v>
      </c>
      <c r="M29" s="489">
        <f ca="1">SUM('Key Ratios &amp; Metrics'!G225:J225)*Model!G574</f>
        <v>2881.0039927883718</v>
      </c>
      <c r="R29" s="407"/>
    </row>
    <row r="30" spans="1:18" x14ac:dyDescent="0.3">
      <c r="C30" s="495" t="s">
        <v>603</v>
      </c>
      <c r="D30" s="481">
        <v>2</v>
      </c>
      <c r="E30" s="484">
        <f>Model!G549</f>
        <v>66837912.144113183</v>
      </c>
      <c r="F30" s="420">
        <f>Model!G559</f>
        <v>68816289.472113177</v>
      </c>
      <c r="G30" s="493">
        <f>F30/Inputs!$G$89</f>
        <v>2653.7208650359858</v>
      </c>
      <c r="J30" s="487" t="s">
        <v>639</v>
      </c>
      <c r="K30" s="488"/>
      <c r="L30" s="497" t="s">
        <v>646</v>
      </c>
      <c r="M30" s="490">
        <f ca="1">Model!T531</f>
        <v>2653.7789063379255</v>
      </c>
      <c r="R30" s="407"/>
    </row>
    <row r="31" spans="1:18" x14ac:dyDescent="0.3">
      <c r="C31" s="495" t="s">
        <v>604</v>
      </c>
      <c r="D31" s="481">
        <v>3</v>
      </c>
      <c r="E31" s="485">
        <f>Model!E551</f>
        <v>48392772.223465912</v>
      </c>
      <c r="F31" s="486">
        <f>Model!E561</f>
        <v>50371149.551465914</v>
      </c>
      <c r="G31" s="494">
        <f>F31/Inputs!$G$89</f>
        <v>1942.4321128900938</v>
      </c>
      <c r="J31" s="458" t="s">
        <v>631</v>
      </c>
      <c r="K31" s="44"/>
      <c r="L31" s="498" t="s">
        <v>646</v>
      </c>
      <c r="M31" s="491">
        <f>Inputs!G90</f>
        <v>2350</v>
      </c>
      <c r="R31" s="407"/>
    </row>
    <row r="32" spans="1:18" x14ac:dyDescent="0.3">
      <c r="R32" s="407"/>
    </row>
    <row r="33" spans="18:18" x14ac:dyDescent="0.3">
      <c r="R33" s="407"/>
    </row>
  </sheetData>
  <mergeCells count="4">
    <mergeCell ref="B19:B23"/>
    <mergeCell ref="B9:B13"/>
    <mergeCell ref="J9:J13"/>
    <mergeCell ref="J19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B837-1F0D-4DAD-9E5F-32496F79FAEA}">
  <dimension ref="A1:R122"/>
  <sheetViews>
    <sheetView showGridLines="0" topLeftCell="A58" zoomScale="76" zoomScaleNormal="85" workbookViewId="0">
      <selection activeCell="E90" sqref="E90"/>
    </sheetView>
  </sheetViews>
  <sheetFormatPr defaultRowHeight="14.4" x14ac:dyDescent="0.3"/>
  <cols>
    <col min="1" max="1" width="3" customWidth="1"/>
    <col min="2" max="2" width="9.33203125" customWidth="1"/>
    <col min="3" max="3" width="11.6640625" customWidth="1"/>
    <col min="4" max="4" width="12.77734375" customWidth="1"/>
    <col min="5" max="5" width="12.6640625" customWidth="1"/>
    <col min="6" max="6" width="12" customWidth="1"/>
    <col min="7" max="7" width="12.44140625" customWidth="1"/>
    <col min="8" max="8" width="14.109375" customWidth="1"/>
    <col min="9" max="9" width="13.77734375" customWidth="1"/>
    <col min="10" max="10" width="9.33203125" customWidth="1"/>
    <col min="11" max="11" width="12.33203125" customWidth="1"/>
    <col min="12" max="12" width="11.5546875" customWidth="1"/>
    <col min="14" max="14" width="10.33203125" customWidth="1"/>
    <col min="16" max="16" width="9.88671875" bestFit="1" customWidth="1"/>
  </cols>
  <sheetData>
    <row r="1" spans="2:18" x14ac:dyDescent="0.3">
      <c r="B1" s="369" t="s">
        <v>523</v>
      </c>
      <c r="C1" s="368"/>
      <c r="D1" s="368"/>
      <c r="E1" s="368"/>
      <c r="F1" s="368"/>
      <c r="G1" s="371"/>
      <c r="H1" s="371"/>
      <c r="I1" s="371"/>
      <c r="J1" s="371"/>
      <c r="K1" s="371" t="s">
        <v>92</v>
      </c>
      <c r="L1" s="371"/>
      <c r="M1" s="371"/>
      <c r="N1" s="371"/>
      <c r="R1" s="418" t="s">
        <v>570</v>
      </c>
    </row>
    <row r="2" spans="2:18" x14ac:dyDescent="0.3">
      <c r="B2" s="4" t="s">
        <v>645</v>
      </c>
      <c r="I2" s="74">
        <v>46203</v>
      </c>
      <c r="J2" s="74">
        <v>46295</v>
      </c>
      <c r="K2" s="74">
        <v>46386</v>
      </c>
      <c r="L2" s="74">
        <v>46476</v>
      </c>
      <c r="M2" s="74">
        <v>46568</v>
      </c>
      <c r="N2" s="170" t="s">
        <v>313</v>
      </c>
      <c r="R2" s="407"/>
    </row>
    <row r="3" spans="2:18" x14ac:dyDescent="0.3">
      <c r="R3" s="407"/>
    </row>
    <row r="4" spans="2:18" x14ac:dyDescent="0.3">
      <c r="B4" t="s">
        <v>225</v>
      </c>
      <c r="I4" s="162">
        <v>0.33500000000000002</v>
      </c>
      <c r="J4" s="86">
        <v>0.33250000000000002</v>
      </c>
      <c r="K4" s="86">
        <v>0.33</v>
      </c>
      <c r="L4" s="86">
        <v>0.32750000000000001</v>
      </c>
      <c r="M4" s="86">
        <v>0.32500000000000001</v>
      </c>
      <c r="N4" s="171">
        <v>0.32299999999999995</v>
      </c>
      <c r="R4" s="408" t="s">
        <v>565</v>
      </c>
    </row>
    <row r="5" spans="2:18" x14ac:dyDescent="0.3">
      <c r="R5" s="408" t="s">
        <v>566</v>
      </c>
    </row>
    <row r="6" spans="2:18" x14ac:dyDescent="0.3">
      <c r="B6" t="s">
        <v>110</v>
      </c>
      <c r="I6" s="162">
        <v>2.3E-2</v>
      </c>
      <c r="J6" s="86">
        <v>2.1000000000000001E-2</v>
      </c>
      <c r="K6" s="86">
        <v>0.02</v>
      </c>
      <c r="L6" s="86">
        <v>1.95E-2</v>
      </c>
      <c r="M6" s="86">
        <v>1.9E-2</v>
      </c>
      <c r="N6" s="171">
        <v>1.9E-2</v>
      </c>
      <c r="R6" s="408" t="s">
        <v>563</v>
      </c>
    </row>
    <row r="7" spans="2:18" x14ac:dyDescent="0.3">
      <c r="R7" s="408" t="s">
        <v>567</v>
      </c>
    </row>
    <row r="8" spans="2:18" x14ac:dyDescent="0.3">
      <c r="B8" t="s">
        <v>220</v>
      </c>
      <c r="I8" s="162">
        <v>5.9499999999999997E-2</v>
      </c>
      <c r="J8" s="86">
        <v>5.8999999999999997E-2</v>
      </c>
      <c r="K8" s="86">
        <v>5.8500000000000003E-2</v>
      </c>
      <c r="L8" s="86">
        <v>5.8000000000000003E-2</v>
      </c>
      <c r="M8" s="86">
        <v>5.8000000000000003E-2</v>
      </c>
      <c r="N8" s="171">
        <v>5.7999999999999996E-2</v>
      </c>
      <c r="R8" s="408" t="s">
        <v>568</v>
      </c>
    </row>
    <row r="9" spans="2:18" x14ac:dyDescent="0.3">
      <c r="R9" s="408" t="s">
        <v>564</v>
      </c>
    </row>
    <row r="10" spans="2:18" x14ac:dyDescent="0.3">
      <c r="B10" t="s">
        <v>524</v>
      </c>
      <c r="I10" s="83">
        <v>28.25</v>
      </c>
      <c r="J10" s="83">
        <v>28.75</v>
      </c>
      <c r="K10" s="83">
        <v>28.5</v>
      </c>
      <c r="L10" s="83">
        <v>28</v>
      </c>
      <c r="M10" s="83">
        <v>27.75</v>
      </c>
      <c r="N10" s="83">
        <v>27.25</v>
      </c>
      <c r="R10" s="407"/>
    </row>
    <row r="11" spans="2:18" x14ac:dyDescent="0.3">
      <c r="B11" t="s">
        <v>140</v>
      </c>
      <c r="I11" s="83">
        <v>72.25</v>
      </c>
      <c r="J11" s="83">
        <v>72.5</v>
      </c>
      <c r="K11" s="83">
        <v>73</v>
      </c>
      <c r="L11" s="83">
        <v>73</v>
      </c>
      <c r="M11" s="83">
        <v>72</v>
      </c>
      <c r="N11" s="83">
        <v>72</v>
      </c>
      <c r="R11" s="407"/>
    </row>
    <row r="12" spans="2:18" x14ac:dyDescent="0.3">
      <c r="B12" t="s">
        <v>525</v>
      </c>
      <c r="I12" s="83">
        <v>22.75</v>
      </c>
      <c r="J12" s="83">
        <v>23</v>
      </c>
      <c r="K12" s="83">
        <v>23.5</v>
      </c>
      <c r="L12" s="83">
        <v>24</v>
      </c>
      <c r="M12" s="83">
        <v>23</v>
      </c>
      <c r="N12" s="83">
        <v>24</v>
      </c>
      <c r="R12" s="407"/>
    </row>
    <row r="13" spans="2:18" x14ac:dyDescent="0.3">
      <c r="R13" s="407"/>
    </row>
    <row r="14" spans="2:18" x14ac:dyDescent="0.3">
      <c r="R14" s="407"/>
    </row>
    <row r="15" spans="2:18" x14ac:dyDescent="0.3">
      <c r="B15" s="3" t="s">
        <v>292</v>
      </c>
      <c r="D15" s="227"/>
      <c r="I15" s="3" t="s">
        <v>526</v>
      </c>
      <c r="J15" s="351"/>
      <c r="K15" s="351"/>
      <c r="L15" s="351"/>
      <c r="M15" s="351"/>
      <c r="R15" s="407"/>
    </row>
    <row r="16" spans="2:18" x14ac:dyDescent="0.3">
      <c r="D16" s="227"/>
      <c r="J16" s="351"/>
      <c r="K16" s="351"/>
      <c r="L16" s="351"/>
      <c r="M16" s="351"/>
      <c r="R16" s="407"/>
    </row>
    <row r="17" spans="2:18" x14ac:dyDescent="0.3">
      <c r="B17" t="s">
        <v>277</v>
      </c>
      <c r="F17" s="257">
        <v>0.16</v>
      </c>
      <c r="G17" s="227"/>
      <c r="I17" t="s">
        <v>527</v>
      </c>
      <c r="J17" s="351"/>
      <c r="N17" s="374">
        <v>1</v>
      </c>
      <c r="R17" s="407"/>
    </row>
    <row r="18" spans="2:18" x14ac:dyDescent="0.3">
      <c r="B18" t="s">
        <v>262</v>
      </c>
      <c r="F18" s="374">
        <v>0.4</v>
      </c>
      <c r="G18" s="227"/>
      <c r="I18" t="s">
        <v>528</v>
      </c>
      <c r="J18" s="351"/>
      <c r="K18" s="351"/>
      <c r="L18" s="351"/>
      <c r="N18" s="375">
        <v>10</v>
      </c>
      <c r="R18" s="407"/>
    </row>
    <row r="19" spans="2:18" x14ac:dyDescent="0.3">
      <c r="B19" t="s">
        <v>263</v>
      </c>
      <c r="F19" s="374">
        <v>0.2</v>
      </c>
      <c r="G19" s="227"/>
      <c r="I19" t="s">
        <v>529</v>
      </c>
      <c r="J19" s="351"/>
      <c r="K19" s="351"/>
      <c r="L19" s="351"/>
      <c r="N19" s="375">
        <v>12</v>
      </c>
      <c r="R19" s="407"/>
    </row>
    <row r="20" spans="2:18" x14ac:dyDescent="0.3">
      <c r="B20" t="s">
        <v>530</v>
      </c>
      <c r="F20" s="351">
        <v>4108129.3250000002</v>
      </c>
      <c r="G20" s="4" t="s">
        <v>550</v>
      </c>
      <c r="J20" s="351"/>
      <c r="K20" s="351"/>
      <c r="L20" s="351"/>
      <c r="N20" s="351"/>
      <c r="R20" s="407"/>
    </row>
    <row r="21" spans="2:18" x14ac:dyDescent="0.3">
      <c r="B21" t="s">
        <v>287</v>
      </c>
      <c r="F21" s="351">
        <v>0</v>
      </c>
      <c r="G21" s="4" t="s">
        <v>550</v>
      </c>
      <c r="I21" t="s">
        <v>531</v>
      </c>
      <c r="J21" s="351"/>
      <c r="K21" s="351"/>
      <c r="L21" s="351"/>
      <c r="N21" s="351">
        <v>3954679</v>
      </c>
      <c r="R21" s="407"/>
    </row>
    <row r="22" spans="2:18" x14ac:dyDescent="0.3">
      <c r="C22" s="104"/>
      <c r="D22" s="227"/>
      <c r="I22" t="s">
        <v>532</v>
      </c>
      <c r="J22" s="351"/>
      <c r="K22" s="351"/>
      <c r="L22" s="351"/>
      <c r="N22" s="351">
        <v>8052961.6890000002</v>
      </c>
      <c r="R22" s="407"/>
    </row>
    <row r="23" spans="2:18" x14ac:dyDescent="0.3">
      <c r="D23" s="227"/>
      <c r="I23" t="s">
        <v>533</v>
      </c>
      <c r="J23" s="351"/>
      <c r="K23" s="351"/>
      <c r="L23" s="351"/>
      <c r="N23" s="351">
        <v>6755751.9890000001</v>
      </c>
      <c r="R23" s="407"/>
    </row>
    <row r="24" spans="2:18" x14ac:dyDescent="0.3">
      <c r="D24" s="227"/>
      <c r="J24" s="351"/>
      <c r="K24" s="351"/>
      <c r="L24" s="351"/>
      <c r="N24" s="351"/>
      <c r="R24" s="407"/>
    </row>
    <row r="25" spans="2:18" x14ac:dyDescent="0.3">
      <c r="B25" s="87" t="s">
        <v>534</v>
      </c>
      <c r="C25" s="51"/>
      <c r="D25" s="51"/>
      <c r="I25" s="3" t="s">
        <v>537</v>
      </c>
      <c r="J25" s="351"/>
      <c r="K25" s="351"/>
      <c r="L25" s="351"/>
      <c r="N25" s="351"/>
      <c r="R25" s="407"/>
    </row>
    <row r="26" spans="2:18" x14ac:dyDescent="0.3">
      <c r="B26" s="87"/>
      <c r="C26" s="51"/>
      <c r="D26" s="51"/>
      <c r="J26" s="351"/>
      <c r="K26" s="351"/>
      <c r="L26" s="351"/>
      <c r="N26" s="351"/>
      <c r="R26" s="407"/>
    </row>
    <row r="27" spans="2:18" x14ac:dyDescent="0.3">
      <c r="B27" s="376" t="s">
        <v>535</v>
      </c>
      <c r="D27" s="377"/>
      <c r="F27" s="257">
        <v>0.01</v>
      </c>
      <c r="I27" t="s">
        <v>540</v>
      </c>
      <c r="J27" s="351"/>
      <c r="K27" s="351"/>
      <c r="L27" s="351"/>
      <c r="N27" s="257">
        <v>0.23</v>
      </c>
      <c r="R27" s="407"/>
    </row>
    <row r="28" spans="2:18" x14ac:dyDescent="0.3">
      <c r="B28" s="376" t="s">
        <v>421</v>
      </c>
      <c r="D28" s="377"/>
      <c r="F28" s="257">
        <v>1.125E-2</v>
      </c>
      <c r="I28" t="s">
        <v>541</v>
      </c>
      <c r="J28" s="351"/>
      <c r="K28" s="351"/>
      <c r="L28" s="351"/>
      <c r="N28" s="374">
        <v>0</v>
      </c>
      <c r="R28" s="407"/>
    </row>
    <row r="29" spans="2:18" x14ac:dyDescent="0.3">
      <c r="B29" s="378" t="s">
        <v>549</v>
      </c>
      <c r="D29" s="377"/>
      <c r="F29" s="257">
        <v>6.0000000000000001E-3</v>
      </c>
      <c r="I29" t="s">
        <v>372</v>
      </c>
      <c r="J29" s="351"/>
      <c r="K29" s="351"/>
      <c r="L29" s="351"/>
      <c r="N29" s="351">
        <f>Historicals!K142</f>
        <v>1057259.672</v>
      </c>
      <c r="R29" s="407"/>
    </row>
    <row r="30" spans="2:18" x14ac:dyDescent="0.3">
      <c r="B30" s="376" t="s">
        <v>460</v>
      </c>
      <c r="C30" s="131"/>
      <c r="D30" s="227"/>
      <c r="F30" s="257">
        <v>5.0000000000000001E-3</v>
      </c>
      <c r="I30" t="s">
        <v>131</v>
      </c>
      <c r="J30" s="351"/>
      <c r="K30" s="351"/>
      <c r="L30" s="351"/>
      <c r="N30" s="351">
        <f>Historicals!K83</f>
        <v>3035637</v>
      </c>
      <c r="R30" s="407"/>
    </row>
    <row r="31" spans="2:18" x14ac:dyDescent="0.3">
      <c r="C31" s="245"/>
      <c r="D31" s="227"/>
      <c r="I31" t="s">
        <v>374</v>
      </c>
      <c r="J31" s="351"/>
      <c r="K31" s="351"/>
      <c r="L31" s="351"/>
      <c r="N31" s="351"/>
      <c r="R31" s="407"/>
    </row>
    <row r="32" spans="2:18" x14ac:dyDescent="0.3">
      <c r="B32" s="3" t="s">
        <v>536</v>
      </c>
      <c r="D32" s="227"/>
      <c r="R32" s="407"/>
    </row>
    <row r="33" spans="2:18" x14ac:dyDescent="0.3">
      <c r="B33" s="3"/>
      <c r="D33" s="227"/>
      <c r="R33" s="407"/>
    </row>
    <row r="34" spans="2:18" ht="16.399999999999999" x14ac:dyDescent="0.35">
      <c r="B34" s="379" t="s">
        <v>538</v>
      </c>
      <c r="C34" s="23"/>
      <c r="F34" s="380">
        <v>46143</v>
      </c>
      <c r="R34" s="407"/>
    </row>
    <row r="35" spans="2:18" ht="16.399999999999999" x14ac:dyDescent="0.35">
      <c r="B35" s="379" t="s">
        <v>539</v>
      </c>
      <c r="C35" s="23"/>
      <c r="F35" s="380">
        <v>46157</v>
      </c>
      <c r="R35" s="407"/>
    </row>
    <row r="36" spans="2:18" x14ac:dyDescent="0.3">
      <c r="B36" s="377" t="s">
        <v>551</v>
      </c>
      <c r="F36" s="380">
        <v>46203</v>
      </c>
      <c r="R36" s="407"/>
    </row>
    <row r="37" spans="2:18" x14ac:dyDescent="0.3">
      <c r="B37" s="377" t="s">
        <v>552</v>
      </c>
      <c r="F37" s="385">
        <v>46174</v>
      </c>
      <c r="R37" s="409"/>
    </row>
    <row r="38" spans="2:18" x14ac:dyDescent="0.3">
      <c r="B38" s="379" t="s">
        <v>542</v>
      </c>
      <c r="F38" s="382">
        <f>IF(F34&gt;F35,1,0)</f>
        <v>0</v>
      </c>
      <c r="R38" s="407"/>
    </row>
    <row r="39" spans="2:18" x14ac:dyDescent="0.3">
      <c r="B39" s="379" t="s">
        <v>543</v>
      </c>
      <c r="F39" s="382">
        <f>IF(F35&gt;F36,1,0)</f>
        <v>0</v>
      </c>
      <c r="R39" s="407"/>
    </row>
    <row r="40" spans="2:18" x14ac:dyDescent="0.3">
      <c r="B40" s="377" t="s">
        <v>224</v>
      </c>
      <c r="F40" s="381"/>
      <c r="I40" s="351"/>
      <c r="J40" s="351"/>
      <c r="K40" s="351"/>
      <c r="L40" s="351"/>
      <c r="R40" s="407"/>
    </row>
    <row r="41" spans="2:18" x14ac:dyDescent="0.3"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R41" s="407"/>
    </row>
    <row r="42" spans="2:18" x14ac:dyDescent="0.3">
      <c r="R42" s="407"/>
    </row>
    <row r="43" spans="2:18" x14ac:dyDescent="0.3">
      <c r="B43" s="386" t="s">
        <v>379</v>
      </c>
      <c r="R43" s="407"/>
    </row>
    <row r="44" spans="2:18" x14ac:dyDescent="0.3">
      <c r="R44" s="407"/>
    </row>
    <row r="45" spans="2:18" x14ac:dyDescent="0.3">
      <c r="J45" s="299" t="s">
        <v>503</v>
      </c>
      <c r="K45" s="299" t="s">
        <v>504</v>
      </c>
      <c r="L45" s="299" t="s">
        <v>504</v>
      </c>
      <c r="M45" s="299" t="s">
        <v>357</v>
      </c>
      <c r="N45" s="299" t="s">
        <v>356</v>
      </c>
      <c r="R45" s="407"/>
    </row>
    <row r="46" spans="2:18" ht="15.75" x14ac:dyDescent="0.3">
      <c r="B46" s="227" t="s">
        <v>359</v>
      </c>
      <c r="C46" s="227"/>
      <c r="D46" s="342"/>
      <c r="E46" s="227" t="s">
        <v>350</v>
      </c>
      <c r="F46" s="227" t="s">
        <v>349</v>
      </c>
      <c r="G46" s="227" t="s">
        <v>351</v>
      </c>
      <c r="H46" s="341" t="s">
        <v>98</v>
      </c>
      <c r="I46" s="341" t="s">
        <v>99</v>
      </c>
      <c r="J46" s="299" t="s">
        <v>482</v>
      </c>
      <c r="K46" s="299" t="s">
        <v>99</v>
      </c>
      <c r="L46" s="299" t="s">
        <v>358</v>
      </c>
      <c r="M46" s="299" t="s">
        <v>483</v>
      </c>
      <c r="N46" s="299" t="s">
        <v>484</v>
      </c>
      <c r="R46" s="407"/>
    </row>
    <row r="47" spans="2:18" x14ac:dyDescent="0.3">
      <c r="R47" s="407"/>
    </row>
    <row r="48" spans="2:18" x14ac:dyDescent="0.3">
      <c r="B48" t="s">
        <v>95</v>
      </c>
      <c r="E48" t="s">
        <v>343</v>
      </c>
      <c r="F48" s="249" t="s">
        <v>348</v>
      </c>
      <c r="G48" t="s">
        <v>352</v>
      </c>
      <c r="H48" s="6">
        <v>28138800</v>
      </c>
      <c r="I48" s="6">
        <v>1500000000</v>
      </c>
      <c r="J48" s="236">
        <f>H48/I48</f>
        <v>1.87592E-2</v>
      </c>
      <c r="K48" s="65">
        <v>0.185</v>
      </c>
      <c r="L48" s="236">
        <f>H48/(I48+H48)</f>
        <v>1.841377236151585E-2</v>
      </c>
      <c r="M48" s="251">
        <v>1.49</v>
      </c>
      <c r="N48" s="251">
        <f>M48/(1+(1-J48)*K48)</f>
        <v>1.2610772219130315</v>
      </c>
      <c r="R48" s="407"/>
    </row>
    <row r="49" spans="2:18" x14ac:dyDescent="0.3">
      <c r="B49" t="s">
        <v>393</v>
      </c>
      <c r="F49" s="249"/>
      <c r="G49" t="s">
        <v>394</v>
      </c>
      <c r="H49" s="6">
        <v>102805</v>
      </c>
      <c r="I49" s="6">
        <v>548500</v>
      </c>
      <c r="J49" s="236">
        <v>0.1125</v>
      </c>
      <c r="K49" s="65">
        <f>H49/I49</f>
        <v>0.18742935278030995</v>
      </c>
      <c r="L49" s="236">
        <f>H49/(H49+I49)</f>
        <v>0.15784463500203438</v>
      </c>
      <c r="M49" s="251">
        <v>1.1499999999999999</v>
      </c>
      <c r="N49" s="251">
        <f>M49/(1+(1-J49)*K49)</f>
        <v>0.98598736145604593</v>
      </c>
      <c r="R49" s="407"/>
    </row>
    <row r="50" spans="2:18" x14ac:dyDescent="0.3">
      <c r="B50" t="s">
        <v>96</v>
      </c>
      <c r="E50" t="s">
        <v>344</v>
      </c>
      <c r="F50" s="249" t="s">
        <v>346</v>
      </c>
      <c r="G50" t="s">
        <v>353</v>
      </c>
      <c r="H50" s="6">
        <v>44086</v>
      </c>
      <c r="I50" s="6">
        <v>498428</v>
      </c>
      <c r="J50" s="236">
        <f>H50/I50</f>
        <v>8.8450087073759898E-2</v>
      </c>
      <c r="K50" s="72">
        <v>0.1</v>
      </c>
      <c r="L50" s="236">
        <f t="shared" ref="L50:L52" si="0">H50/(I50+H50)</f>
        <v>8.1262419034347499E-2</v>
      </c>
      <c r="M50" s="251">
        <v>1.5</v>
      </c>
      <c r="N50" s="251">
        <f t="shared" ref="N50:N52" si="1">M50/(1+(1-J50)*K50)</f>
        <v>1.3746901329049896</v>
      </c>
      <c r="R50" s="407"/>
    </row>
    <row r="51" spans="2:18" x14ac:dyDescent="0.3">
      <c r="B51" t="s">
        <v>97</v>
      </c>
      <c r="E51" t="s">
        <v>344</v>
      </c>
      <c r="F51" s="249" t="s">
        <v>347</v>
      </c>
      <c r="G51" t="s">
        <v>353</v>
      </c>
      <c r="H51" s="6">
        <v>1147</v>
      </c>
      <c r="I51" s="6">
        <v>37220</v>
      </c>
      <c r="J51" s="236">
        <f t="shared" ref="J51" si="2">H51/I51</f>
        <v>3.0816765180010745E-2</v>
      </c>
      <c r="K51" s="72">
        <v>0.27</v>
      </c>
      <c r="L51" s="236">
        <f t="shared" si="0"/>
        <v>2.9895483097453542E-2</v>
      </c>
      <c r="M51" s="251">
        <v>1.34</v>
      </c>
      <c r="N51" s="251">
        <f t="shared" si="1"/>
        <v>1.0620764054973935</v>
      </c>
      <c r="R51" s="407"/>
    </row>
    <row r="52" spans="2:18" x14ac:dyDescent="0.3">
      <c r="B52" t="s">
        <v>485</v>
      </c>
      <c r="E52" t="s">
        <v>345</v>
      </c>
      <c r="F52" s="249">
        <v>2303</v>
      </c>
      <c r="G52" t="s">
        <v>354</v>
      </c>
      <c r="H52" s="6">
        <v>56740</v>
      </c>
      <c r="I52" s="6">
        <v>1515456</v>
      </c>
      <c r="J52" s="236">
        <f>H52/I52</f>
        <v>3.744087588158284E-2</v>
      </c>
      <c r="K52" s="65">
        <v>3.2000000000000001E-2</v>
      </c>
      <c r="L52" s="236">
        <f t="shared" si="0"/>
        <v>3.6089647855610876E-2</v>
      </c>
      <c r="M52" s="251">
        <v>1.53</v>
      </c>
      <c r="N52" s="251">
        <f t="shared" si="1"/>
        <v>1.4842813269126911</v>
      </c>
      <c r="R52" s="407"/>
    </row>
    <row r="53" spans="2:18" x14ac:dyDescent="0.3">
      <c r="R53" s="407"/>
    </row>
    <row r="54" spans="2:18" x14ac:dyDescent="0.3">
      <c r="I54" t="s">
        <v>355</v>
      </c>
      <c r="J54" s="236">
        <f>AVERAGE(J48:J52)</f>
        <v>5.7593385627070691E-2</v>
      </c>
      <c r="K54" s="236">
        <f>AVERAGE(K48:K52)</f>
        <v>0.15488587055606201</v>
      </c>
      <c r="L54" s="236">
        <f>AVERAGE(L48:L52)</f>
        <v>6.4701191470192432E-2</v>
      </c>
      <c r="M54" s="251">
        <f>AVERAGE(M48:M52)</f>
        <v>1.4019999999999999</v>
      </c>
      <c r="N54" s="251">
        <f>AVERAGE(N48:N52)</f>
        <v>1.2336224897368302</v>
      </c>
      <c r="R54" s="407"/>
    </row>
    <row r="55" spans="2:18" x14ac:dyDescent="0.3">
      <c r="I55" t="s">
        <v>360</v>
      </c>
      <c r="J55" s="236">
        <f>MEDIAN(J48:J52)</f>
        <v>3.744087588158284E-2</v>
      </c>
      <c r="K55" s="236">
        <f>MEDIAN(K48:K52)</f>
        <v>0.185</v>
      </c>
      <c r="L55" s="236">
        <f>MEDIAN(L48:L52)</f>
        <v>3.6089647855610876E-2</v>
      </c>
      <c r="M55" s="251">
        <f>MEDIAN(M48:M52)</f>
        <v>1.49</v>
      </c>
      <c r="N55" s="251">
        <f>MEDIAN(N48:N52)</f>
        <v>1.2610772219130315</v>
      </c>
      <c r="R55" s="407"/>
    </row>
    <row r="56" spans="2:18" x14ac:dyDescent="0.3">
      <c r="O56" s="406"/>
      <c r="R56" s="407"/>
    </row>
    <row r="57" spans="2:18" x14ac:dyDescent="0.3">
      <c r="B57" s="68"/>
      <c r="C57" s="253"/>
      <c r="D57" s="253"/>
      <c r="E57" s="253"/>
      <c r="F57" s="68"/>
      <c r="G57" s="254"/>
      <c r="H57" s="254"/>
      <c r="I57" s="254"/>
      <c r="J57" s="254"/>
      <c r="K57" s="254"/>
      <c r="L57" s="254"/>
      <c r="M57" s="254"/>
      <c r="N57" s="68"/>
      <c r="O57" s="406"/>
      <c r="R57" s="407"/>
    </row>
    <row r="58" spans="2:18" x14ac:dyDescent="0.3">
      <c r="B58" t="s">
        <v>361</v>
      </c>
      <c r="F58" s="255"/>
      <c r="J58" t="s">
        <v>362</v>
      </c>
      <c r="N58" s="255"/>
      <c r="R58" s="407"/>
    </row>
    <row r="59" spans="2:18" x14ac:dyDescent="0.3">
      <c r="R59" s="408" t="s">
        <v>388</v>
      </c>
    </row>
    <row r="60" spans="2:18" x14ac:dyDescent="0.3">
      <c r="B60" t="s">
        <v>363</v>
      </c>
      <c r="G60" s="256">
        <v>5.7500000000000002E-2</v>
      </c>
      <c r="J60" t="s">
        <v>364</v>
      </c>
      <c r="N60" s="257">
        <v>1.72E-2</v>
      </c>
      <c r="R60" s="408" t="s">
        <v>389</v>
      </c>
    </row>
    <row r="61" spans="2:18" x14ac:dyDescent="0.3">
      <c r="B61" t="s">
        <v>365</v>
      </c>
      <c r="G61" s="258">
        <f>N54</f>
        <v>1.2336224897368302</v>
      </c>
      <c r="J61" t="s">
        <v>366</v>
      </c>
      <c r="N61" s="256">
        <f>G63</f>
        <v>7.3081506105564256E-2</v>
      </c>
      <c r="R61" s="408" t="s">
        <v>390</v>
      </c>
    </row>
    <row r="62" spans="2:18" ht="15.75" x14ac:dyDescent="0.3">
      <c r="B62" s="259" t="s">
        <v>367</v>
      </c>
      <c r="G62" s="258">
        <f>G61*(1+(1-N70)*G73)</f>
        <v>1.2709827148793782</v>
      </c>
      <c r="J62" t="s">
        <v>368</v>
      </c>
      <c r="N62" s="256">
        <v>0</v>
      </c>
      <c r="R62" s="408" t="s">
        <v>391</v>
      </c>
    </row>
    <row r="63" spans="2:18" x14ac:dyDescent="0.3">
      <c r="B63" t="s">
        <v>366</v>
      </c>
      <c r="G63" s="260">
        <f>G62*G60</f>
        <v>7.3081506105564256E-2</v>
      </c>
      <c r="J63" t="s">
        <v>362</v>
      </c>
      <c r="N63" s="260">
        <f>SUM(N60:N62)</f>
        <v>9.0281506105564263E-2</v>
      </c>
      <c r="R63" s="407"/>
    </row>
    <row r="64" spans="2:18" x14ac:dyDescent="0.3">
      <c r="R64" s="407"/>
    </row>
    <row r="65" spans="2:18" x14ac:dyDescent="0.3">
      <c r="R65" s="407"/>
    </row>
    <row r="66" spans="2:18" x14ac:dyDescent="0.3">
      <c r="B66" s="68"/>
      <c r="C66" s="68"/>
      <c r="D66" s="68"/>
      <c r="E66" s="68"/>
      <c r="F66" s="68"/>
      <c r="G66" s="68"/>
      <c r="J66" s="68"/>
      <c r="K66" s="261"/>
      <c r="L66" s="68"/>
      <c r="M66" s="261"/>
      <c r="N66" s="261"/>
      <c r="R66" s="407"/>
    </row>
    <row r="67" spans="2:18" x14ac:dyDescent="0.3">
      <c r="B67" t="s">
        <v>369</v>
      </c>
      <c r="E67" s="121"/>
      <c r="F67" s="121"/>
      <c r="J67" t="s">
        <v>370</v>
      </c>
      <c r="N67" s="255"/>
      <c r="R67" s="407"/>
    </row>
    <row r="68" spans="2:18" x14ac:dyDescent="0.3">
      <c r="B68" s="262"/>
      <c r="F68" s="121" t="s">
        <v>155</v>
      </c>
      <c r="G68" s="121" t="s">
        <v>371</v>
      </c>
      <c r="R68" s="407"/>
    </row>
    <row r="69" spans="2:18" x14ac:dyDescent="0.3">
      <c r="B69" t="s">
        <v>372</v>
      </c>
      <c r="E69" s="121">
        <v>1024500</v>
      </c>
      <c r="F69" s="263">
        <f>E69/E71</f>
        <v>3.5116283055407975E-2</v>
      </c>
      <c r="G69" s="257">
        <v>3.5000000000000003E-2</v>
      </c>
      <c r="J69" t="s">
        <v>373</v>
      </c>
      <c r="N69" s="256">
        <f>N60+0.15%</f>
        <v>1.8700000000000001E-2</v>
      </c>
      <c r="R69" s="407"/>
    </row>
    <row r="70" spans="2:18" x14ac:dyDescent="0.3">
      <c r="B70" t="s">
        <v>374</v>
      </c>
      <c r="E70" s="121">
        <v>28150000</v>
      </c>
      <c r="F70" s="263">
        <f>E70/E71</f>
        <v>0.96488371694459207</v>
      </c>
      <c r="G70" s="263">
        <f>1-G69</f>
        <v>0.96499999999999997</v>
      </c>
      <c r="J70" t="s">
        <v>277</v>
      </c>
      <c r="N70" s="256">
        <v>0.16500000000000001</v>
      </c>
      <c r="R70" s="407"/>
    </row>
    <row r="71" spans="2:18" x14ac:dyDescent="0.3">
      <c r="B71" t="s">
        <v>375</v>
      </c>
      <c r="E71" s="264">
        <f>SUM(E69:E70)</f>
        <v>29174500</v>
      </c>
      <c r="F71" s="265">
        <f>SUM(F69:F70)</f>
        <v>1</v>
      </c>
      <c r="G71" s="265">
        <f>SUM(G69:G70)</f>
        <v>1</v>
      </c>
      <c r="J71" t="s">
        <v>376</v>
      </c>
      <c r="N71" s="260">
        <f>N69*(1-N70)</f>
        <v>1.56145E-2</v>
      </c>
      <c r="R71" s="407"/>
    </row>
    <row r="72" spans="2:18" x14ac:dyDescent="0.3">
      <c r="G72" s="266"/>
      <c r="R72" s="407"/>
    </row>
    <row r="73" spans="2:18" x14ac:dyDescent="0.3">
      <c r="B73" t="s">
        <v>377</v>
      </c>
      <c r="F73" s="235">
        <f>F69/F70</f>
        <v>3.6394316163410302E-2</v>
      </c>
      <c r="G73" s="235">
        <f>G69/G70</f>
        <v>3.6269430051813475E-2</v>
      </c>
      <c r="R73" s="407"/>
    </row>
    <row r="74" spans="2:18" x14ac:dyDescent="0.3">
      <c r="G74" s="255"/>
      <c r="J74" s="44"/>
      <c r="K74" s="44"/>
      <c r="L74" s="44"/>
      <c r="M74" s="44"/>
      <c r="N74" s="44"/>
      <c r="R74" s="407"/>
    </row>
    <row r="75" spans="2:18" x14ac:dyDescent="0.3">
      <c r="B75" s="267"/>
      <c r="C75" s="267"/>
      <c r="D75" s="267"/>
      <c r="E75" s="267"/>
      <c r="F75" s="267"/>
      <c r="G75" s="268"/>
      <c r="M75" s="255"/>
      <c r="R75" s="407"/>
    </row>
    <row r="76" spans="2:18" x14ac:dyDescent="0.3">
      <c r="B76" s="227" t="s">
        <v>378</v>
      </c>
      <c r="C76" s="227"/>
      <c r="D76" s="227"/>
      <c r="E76" s="227"/>
      <c r="F76" s="227"/>
      <c r="G76" s="269"/>
      <c r="J76" t="s">
        <v>379</v>
      </c>
      <c r="R76" s="407"/>
    </row>
    <row r="77" spans="2:18" x14ac:dyDescent="0.3">
      <c r="B77" s="270" t="s">
        <v>380</v>
      </c>
      <c r="C77" s="227"/>
      <c r="D77" s="227"/>
      <c r="E77" s="227"/>
      <c r="F77" s="227"/>
      <c r="G77" s="227"/>
      <c r="M77" s="121" t="s">
        <v>381</v>
      </c>
      <c r="N77" s="121" t="s">
        <v>382</v>
      </c>
      <c r="R77" s="407"/>
    </row>
    <row r="78" spans="2:18" x14ac:dyDescent="0.3">
      <c r="B78" s="271" t="s">
        <v>383</v>
      </c>
      <c r="C78" s="227"/>
      <c r="D78" s="227"/>
      <c r="E78" s="227"/>
      <c r="F78" s="227"/>
      <c r="G78" s="227"/>
      <c r="J78" t="s">
        <v>384</v>
      </c>
      <c r="M78" s="263">
        <f>G69</f>
        <v>3.5000000000000003E-2</v>
      </c>
      <c r="N78" s="256">
        <f>N71</f>
        <v>1.56145E-2</v>
      </c>
      <c r="R78" s="407"/>
    </row>
    <row r="79" spans="2:18" x14ac:dyDescent="0.3">
      <c r="B79" s="272" t="s">
        <v>385</v>
      </c>
      <c r="C79" s="227"/>
      <c r="D79" s="227"/>
      <c r="E79" s="227"/>
      <c r="F79" s="227"/>
      <c r="G79" s="227"/>
      <c r="J79" t="s">
        <v>386</v>
      </c>
      <c r="M79" s="263">
        <f>G70</f>
        <v>0.96499999999999997</v>
      </c>
      <c r="N79" s="256">
        <f>N63</f>
        <v>9.0281506105564263E-2</v>
      </c>
      <c r="R79" s="407"/>
    </row>
    <row r="80" spans="2:18" x14ac:dyDescent="0.3">
      <c r="B80" s="273" t="s">
        <v>387</v>
      </c>
      <c r="C80" s="227"/>
      <c r="D80" s="227"/>
      <c r="E80" s="227"/>
      <c r="F80" s="227"/>
      <c r="G80" s="227"/>
      <c r="R80" s="407"/>
    </row>
    <row r="81" spans="2:18" x14ac:dyDescent="0.3">
      <c r="B81" s="227"/>
      <c r="C81" s="227"/>
      <c r="D81" s="227"/>
      <c r="E81" s="227"/>
      <c r="F81" s="227"/>
      <c r="G81" s="227"/>
      <c r="R81" s="407"/>
    </row>
    <row r="82" spans="2:18" x14ac:dyDescent="0.3">
      <c r="B82" s="227"/>
      <c r="C82" s="227"/>
      <c r="D82" s="227"/>
      <c r="E82" s="227"/>
      <c r="F82" s="227"/>
      <c r="G82" s="227"/>
      <c r="R82" s="407"/>
    </row>
    <row r="83" spans="2:18" x14ac:dyDescent="0.3">
      <c r="B83" s="227"/>
      <c r="C83" s="227"/>
      <c r="D83" s="227"/>
      <c r="E83" s="227"/>
      <c r="F83" s="227"/>
      <c r="G83" s="227"/>
      <c r="J83" s="3" t="s">
        <v>379</v>
      </c>
      <c r="N83" s="274">
        <f>SUMPRODUCT(M78:M79,N78:N79)</f>
        <v>8.7668160891869518E-2</v>
      </c>
      <c r="R83" s="407"/>
    </row>
    <row r="84" spans="2:18" x14ac:dyDescent="0.3">
      <c r="J84" s="3" t="s">
        <v>392</v>
      </c>
      <c r="N84" s="274">
        <v>2.5000000000000001E-2</v>
      </c>
      <c r="R84" s="407"/>
    </row>
    <row r="85" spans="2:18" x14ac:dyDescent="0.3">
      <c r="R85" s="407"/>
    </row>
    <row r="86" spans="2:18" x14ac:dyDescent="0.3">
      <c r="B86" s="387" t="s">
        <v>553</v>
      </c>
      <c r="C86" s="379"/>
      <c r="D86" s="227"/>
      <c r="R86" s="407"/>
    </row>
    <row r="87" spans="2:18" x14ac:dyDescent="0.3">
      <c r="B87" s="387"/>
      <c r="C87" s="379"/>
      <c r="D87" s="227"/>
      <c r="R87" s="407"/>
    </row>
    <row r="88" spans="2:18" x14ac:dyDescent="0.3">
      <c r="B88" s="379" t="s">
        <v>497</v>
      </c>
      <c r="C88" s="388"/>
      <c r="D88" s="388"/>
      <c r="E88" s="389"/>
      <c r="G88" s="351">
        <v>1978377.328</v>
      </c>
      <c r="R88" s="407"/>
    </row>
    <row r="89" spans="2:18" x14ac:dyDescent="0.3">
      <c r="B89" s="379" t="s">
        <v>554</v>
      </c>
      <c r="E89" s="390"/>
      <c r="G89" s="351">
        <v>25932</v>
      </c>
      <c r="R89" s="408" t="s">
        <v>558</v>
      </c>
    </row>
    <row r="90" spans="2:18" x14ac:dyDescent="0.3">
      <c r="B90" s="379" t="s">
        <v>555</v>
      </c>
      <c r="E90" s="391" t="s">
        <v>559</v>
      </c>
      <c r="G90" s="392">
        <v>2350</v>
      </c>
      <c r="R90" s="408" t="s">
        <v>640</v>
      </c>
    </row>
    <row r="91" spans="2:18" x14ac:dyDescent="0.3">
      <c r="B91" s="379" t="s">
        <v>392</v>
      </c>
      <c r="C91" s="379"/>
      <c r="G91" s="374">
        <f>N84</f>
        <v>2.5000000000000001E-2</v>
      </c>
      <c r="R91" s="407"/>
    </row>
    <row r="92" spans="2:18" x14ac:dyDescent="0.3">
      <c r="B92" s="379" t="s">
        <v>556</v>
      </c>
      <c r="C92" s="379"/>
      <c r="G92" s="393">
        <v>0</v>
      </c>
      <c r="R92" s="408" t="s">
        <v>560</v>
      </c>
    </row>
    <row r="93" spans="2:18" x14ac:dyDescent="0.3">
      <c r="B93" s="379" t="s">
        <v>379</v>
      </c>
      <c r="C93" s="379"/>
      <c r="G93" s="374">
        <f>N83</f>
        <v>8.7668160891869518E-2</v>
      </c>
      <c r="R93" s="408" t="s">
        <v>571</v>
      </c>
    </row>
    <row r="94" spans="2:18" x14ac:dyDescent="0.3">
      <c r="B94" s="379" t="s">
        <v>557</v>
      </c>
      <c r="C94" s="379"/>
      <c r="G94" s="382">
        <f>IF(G91&gt;G93,1,0)</f>
        <v>0</v>
      </c>
      <c r="R94" s="408" t="s">
        <v>561</v>
      </c>
    </row>
    <row r="95" spans="2:18" x14ac:dyDescent="0.3">
      <c r="R95" s="407"/>
    </row>
    <row r="96" spans="2:18" x14ac:dyDescent="0.3">
      <c r="R96" s="407"/>
    </row>
    <row r="97" spans="1:18" x14ac:dyDescent="0.3">
      <c r="B97" s="92" t="s">
        <v>396</v>
      </c>
      <c r="C97" s="346"/>
      <c r="R97" s="407"/>
    </row>
    <row r="98" spans="1:18" x14ac:dyDescent="0.3">
      <c r="B98" s="347" t="s">
        <v>322</v>
      </c>
      <c r="C98" s="348">
        <f>((1+N83)^(1/4))-1</f>
        <v>2.1231268905577805E-2</v>
      </c>
      <c r="R98" s="407"/>
    </row>
    <row r="99" spans="1:18" x14ac:dyDescent="0.3">
      <c r="B99" s="349" t="s">
        <v>397</v>
      </c>
      <c r="C99" s="350">
        <f>((1+N84)^(1/4))-1</f>
        <v>6.192246325636086E-3</v>
      </c>
      <c r="R99" s="407"/>
    </row>
    <row r="100" spans="1:18" x14ac:dyDescent="0.3">
      <c r="R100" s="407"/>
    </row>
    <row r="101" spans="1:18" x14ac:dyDescent="0.3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R101" s="407"/>
    </row>
    <row r="102" spans="1:18" x14ac:dyDescent="0.3">
      <c r="A102" t="s">
        <v>90</v>
      </c>
    </row>
    <row r="122" ht="14.4" customHeight="1" x14ac:dyDescent="0.3"/>
  </sheetData>
  <conditionalFormatting sqref="G69">
    <cfRule type="containsText" dxfId="19" priority="15" operator="containsText" text="OK">
      <formula>NOT(ISERROR(SEARCH("OK",G69)))</formula>
    </cfRule>
    <cfRule type="containsText" dxfId="18" priority="16" operator="containsText" text="ERROR">
      <formula>NOT(ISERROR(SEARCH("ERROR",G69)))</formula>
    </cfRule>
  </conditionalFormatting>
  <conditionalFormatting sqref="N60">
    <cfRule type="containsText" dxfId="17" priority="17" operator="containsText" text="OK">
      <formula>NOT(ISERROR(SEARCH("OK",N60)))</formula>
    </cfRule>
    <cfRule type="containsText" dxfId="16" priority="18" operator="containsText" text="ERROR">
      <formula>NOT(ISERROR(SEARCH("ERROR",N60)))</formula>
    </cfRule>
  </conditionalFormatting>
  <conditionalFormatting sqref="D27:D29 F27:F30 B29:B30">
    <cfRule type="containsText" dxfId="15" priority="13" operator="containsText" text="OK">
      <formula>NOT(ISERROR(SEARCH("OK",B27)))</formula>
    </cfRule>
    <cfRule type="containsText" dxfId="14" priority="14" operator="containsText" text="ERROR">
      <formula>NOT(ISERROR(SEARCH("ERROR",B27)))</formula>
    </cfRule>
  </conditionalFormatting>
  <conditionalFormatting sqref="F17:F19">
    <cfRule type="containsText" dxfId="13" priority="9" operator="containsText" text="OK">
      <formula>NOT(ISERROR(SEARCH("OK",F17)))</formula>
    </cfRule>
    <cfRule type="containsText" dxfId="12" priority="10" operator="containsText" text="ERROR">
      <formula>NOT(ISERROR(SEARCH("ERROR",F17)))</formula>
    </cfRule>
  </conditionalFormatting>
  <conditionalFormatting sqref="N17">
    <cfRule type="containsText" dxfId="11" priority="11" operator="containsText" text="OK">
      <formula>NOT(ISERROR(SEARCH("OK",N17)))</formula>
    </cfRule>
    <cfRule type="containsText" dxfId="10" priority="12" operator="containsText" text="ERROR">
      <formula>NOT(ISERROR(SEARCH("ERROR",N17)))</formula>
    </cfRule>
  </conditionalFormatting>
  <conditionalFormatting sqref="N27:N28">
    <cfRule type="containsText" dxfId="7" priority="7" operator="containsText" text="OK">
      <formula>NOT(ISERROR(SEARCH("OK",N27)))</formula>
    </cfRule>
    <cfRule type="containsText" dxfId="6" priority="8" operator="containsText" text="ERROR">
      <formula>NOT(ISERROR(SEARCH("ERROR",N27)))</formula>
    </cfRule>
  </conditionalFormatting>
  <conditionalFormatting sqref="G91">
    <cfRule type="containsText" dxfId="5" priority="3" operator="containsText" text="OK">
      <formula>NOT(ISERROR(SEARCH("OK",G91)))</formula>
    </cfRule>
    <cfRule type="containsText" dxfId="4" priority="4" operator="containsText" text="ERROR">
      <formula>NOT(ISERROR(SEARCH("ERROR",G91)))</formula>
    </cfRule>
  </conditionalFormatting>
  <conditionalFormatting sqref="G93">
    <cfRule type="containsText" dxfId="3" priority="1" operator="containsText" text="OK">
      <formula>NOT(ISERROR(SEARCH("OK",G93)))</formula>
    </cfRule>
    <cfRule type="containsText" dxfId="2" priority="2" operator="containsText" text="ERROR">
      <formula>NOT(ISERROR(SEARCH("ERROR",G93)))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CE91-0FBC-4D62-ACA1-74F677D592D6}">
  <dimension ref="A1:AU591"/>
  <sheetViews>
    <sheetView showGridLines="0" topLeftCell="A534" zoomScale="88" zoomScaleNormal="80" workbookViewId="0">
      <selection activeCell="B535" sqref="B535"/>
    </sheetView>
  </sheetViews>
  <sheetFormatPr defaultRowHeight="14.4" x14ac:dyDescent="0.3"/>
  <cols>
    <col min="1" max="1" width="3" customWidth="1"/>
    <col min="2" max="2" width="8.77734375" customWidth="1"/>
    <col min="3" max="3" width="9.77734375" customWidth="1"/>
    <col min="4" max="4" width="9.88671875" customWidth="1"/>
    <col min="5" max="5" width="12.44140625" customWidth="1"/>
    <col min="6" max="6" width="12.21875" customWidth="1"/>
    <col min="7" max="7" width="11.44140625" bestFit="1" customWidth="1"/>
    <col min="8" max="8" width="12.5546875" customWidth="1"/>
    <col min="9" max="9" width="12.88671875" customWidth="1"/>
    <col min="10" max="10" width="15.21875" customWidth="1"/>
    <col min="11" max="11" width="10.44140625" bestFit="1" customWidth="1"/>
    <col min="12" max="12" width="9.6640625" customWidth="1"/>
    <col min="13" max="14" width="9.88671875" customWidth="1"/>
    <col min="15" max="15" width="11.5546875" customWidth="1"/>
    <col min="16" max="16" width="12.5546875" customWidth="1"/>
    <col min="17" max="17" width="12.109375" customWidth="1"/>
    <col min="18" max="18" width="11.88671875" customWidth="1"/>
    <col min="19" max="19" width="12.6640625" customWidth="1"/>
    <col min="20" max="20" width="12" customWidth="1"/>
    <col min="21" max="21" width="13" customWidth="1"/>
    <col min="22" max="22" width="10.6640625" customWidth="1"/>
    <col min="23" max="23" width="43.6640625" customWidth="1"/>
    <col min="24" max="24" width="11.44140625" bestFit="1" customWidth="1"/>
    <col min="25" max="25" width="19.88671875" customWidth="1"/>
    <col min="26" max="26" width="16.33203125" bestFit="1" customWidth="1"/>
    <col min="27" max="27" width="18.88671875" bestFit="1" customWidth="1"/>
    <col min="28" max="29" width="19.88671875" bestFit="1" customWidth="1"/>
    <col min="30" max="30" width="12.109375" bestFit="1" customWidth="1"/>
    <col min="31" max="31" width="12.21875" bestFit="1" customWidth="1"/>
    <col min="32" max="32" width="12" bestFit="1" customWidth="1"/>
    <col min="33" max="33" width="12.5546875" bestFit="1" customWidth="1"/>
    <col min="34" max="34" width="11.33203125" customWidth="1"/>
    <col min="35" max="35" width="13" bestFit="1" customWidth="1"/>
    <col min="36" max="36" width="15" bestFit="1" customWidth="1"/>
    <col min="37" max="37" width="12.88671875" bestFit="1" customWidth="1"/>
    <col min="38" max="38" width="16" bestFit="1" customWidth="1"/>
    <col min="39" max="39" width="12.6640625" bestFit="1" customWidth="1"/>
    <col min="40" max="40" width="11.21875" bestFit="1" customWidth="1"/>
    <col min="41" max="43" width="9.6640625" bestFit="1" customWidth="1"/>
    <col min="46" max="46" width="12.77734375" bestFit="1" customWidth="1"/>
  </cols>
  <sheetData>
    <row r="1" spans="2:39" x14ac:dyDescent="0.3">
      <c r="B1" s="369" t="s">
        <v>38</v>
      </c>
      <c r="C1" s="368"/>
      <c r="D1" s="368"/>
      <c r="E1" s="368"/>
      <c r="F1" s="368"/>
      <c r="G1" s="370" t="s">
        <v>91</v>
      </c>
      <c r="H1" s="370"/>
      <c r="I1" s="370"/>
      <c r="J1" s="370"/>
      <c r="K1" s="370"/>
      <c r="L1" s="370"/>
      <c r="M1" s="370"/>
      <c r="N1" s="370"/>
      <c r="O1" s="370"/>
      <c r="P1" s="370" t="s">
        <v>92</v>
      </c>
      <c r="Q1" s="370"/>
      <c r="R1" s="370"/>
      <c r="S1" s="370"/>
      <c r="T1" s="370"/>
      <c r="U1" s="368"/>
      <c r="W1" s="418" t="s">
        <v>569</v>
      </c>
    </row>
    <row r="2" spans="2:39" x14ac:dyDescent="0.3">
      <c r="B2" s="4" t="s">
        <v>8</v>
      </c>
      <c r="G2" s="74">
        <v>45382</v>
      </c>
      <c r="H2" s="74">
        <f>EDATE(G2,3)</f>
        <v>45473</v>
      </c>
      <c r="I2" s="74">
        <f t="shared" ref="I2:T2" si="0">EDATE(H2,3)</f>
        <v>45565</v>
      </c>
      <c r="J2" s="74">
        <f t="shared" si="0"/>
        <v>45656</v>
      </c>
      <c r="K2" s="74">
        <f t="shared" si="0"/>
        <v>45746</v>
      </c>
      <c r="L2" s="74">
        <f t="shared" si="0"/>
        <v>45838</v>
      </c>
      <c r="M2" s="74">
        <f t="shared" si="0"/>
        <v>45930</v>
      </c>
      <c r="N2" s="74">
        <f t="shared" si="0"/>
        <v>46021</v>
      </c>
      <c r="O2" s="74">
        <f t="shared" si="0"/>
        <v>46111</v>
      </c>
      <c r="P2" s="74">
        <f t="shared" si="0"/>
        <v>46203</v>
      </c>
      <c r="Q2" s="74">
        <f t="shared" si="0"/>
        <v>46295</v>
      </c>
      <c r="R2" s="74">
        <f t="shared" si="0"/>
        <v>46386</v>
      </c>
      <c r="S2" s="74">
        <f t="shared" si="0"/>
        <v>46476</v>
      </c>
      <c r="T2" s="74">
        <f t="shared" si="0"/>
        <v>46568</v>
      </c>
      <c r="U2" s="170" t="s">
        <v>313</v>
      </c>
      <c r="V2" s="170"/>
      <c r="W2" s="407"/>
    </row>
    <row r="3" spans="2:39" x14ac:dyDescent="0.3">
      <c r="B3" s="4"/>
      <c r="G3" s="6"/>
      <c r="H3" s="6"/>
      <c r="I3" s="6"/>
      <c r="J3" s="6"/>
      <c r="K3" s="6"/>
      <c r="L3" s="6"/>
      <c r="M3" s="6"/>
      <c r="N3" s="6"/>
      <c r="O3" s="6"/>
      <c r="W3" s="407"/>
    </row>
    <row r="4" spans="2:39" x14ac:dyDescent="0.3">
      <c r="B4" t="s">
        <v>37</v>
      </c>
      <c r="G4" s="351">
        <v>592644</v>
      </c>
      <c r="H4" s="351">
        <v>673510</v>
      </c>
      <c r="I4" s="351">
        <v>759692</v>
      </c>
      <c r="J4" s="351">
        <v>868461</v>
      </c>
      <c r="K4" s="351">
        <v>839254</v>
      </c>
      <c r="L4" s="351">
        <v>933792</v>
      </c>
      <c r="M4" s="351">
        <v>989918</v>
      </c>
      <c r="N4" s="351">
        <v>1046090</v>
      </c>
      <c r="O4" s="351">
        <v>1134103</v>
      </c>
      <c r="P4" s="6">
        <f>P161</f>
        <v>1248392.2298250003</v>
      </c>
      <c r="Q4" s="6">
        <f t="shared" ref="Q4:T4" si="1">Q161</f>
        <v>1382472.3366958124</v>
      </c>
      <c r="R4" s="6">
        <f t="shared" si="1"/>
        <v>1536433.0099928251</v>
      </c>
      <c r="S4" s="6">
        <f t="shared" si="1"/>
        <v>1713637.4999623799</v>
      </c>
      <c r="T4" s="6">
        <f t="shared" si="1"/>
        <v>1917692.3755778368</v>
      </c>
      <c r="U4" s="6">
        <f t="shared" ref="U4" si="2">U161</f>
        <v>2149498.3898404702</v>
      </c>
      <c r="V4" s="6"/>
      <c r="W4" s="407"/>
    </row>
    <row r="5" spans="2:39" x14ac:dyDescent="0.3">
      <c r="B5" t="s">
        <v>39</v>
      </c>
      <c r="G5" s="351">
        <v>-278139</v>
      </c>
      <c r="H5" s="351">
        <v>-315385</v>
      </c>
      <c r="I5" s="351">
        <v>-320347</v>
      </c>
      <c r="J5" s="351">
        <v>-356082</v>
      </c>
      <c r="K5" s="351">
        <v>-345859</v>
      </c>
      <c r="L5" s="351">
        <v>-386423</v>
      </c>
      <c r="M5" s="351">
        <v>-401375</v>
      </c>
      <c r="N5" s="351">
        <v>-394103</v>
      </c>
      <c r="O5" s="351">
        <v>-382808</v>
      </c>
      <c r="P5" s="6">
        <f>P178*-1</f>
        <v>-418211.39699137514</v>
      </c>
      <c r="Q5" s="6">
        <f t="shared" ref="Q5:T5" si="3">Q178*-1</f>
        <v>-459672.05195135763</v>
      </c>
      <c r="R5" s="6">
        <f t="shared" si="3"/>
        <v>-507022.89329763228</v>
      </c>
      <c r="S5" s="6">
        <f t="shared" si="3"/>
        <v>-561216.28123767942</v>
      </c>
      <c r="T5" s="6">
        <f t="shared" si="3"/>
        <v>-623250.02206279698</v>
      </c>
      <c r="U5" s="6">
        <f t="shared" ref="U5" si="4">U178*-1</f>
        <v>-694287.97991847177</v>
      </c>
      <c r="V5" s="6"/>
      <c r="W5" s="407"/>
    </row>
    <row r="6" spans="2:39" x14ac:dyDescent="0.3">
      <c r="B6" s="3" t="s">
        <v>40</v>
      </c>
      <c r="G6" s="352">
        <v>314505</v>
      </c>
      <c r="H6" s="352">
        <v>358125</v>
      </c>
      <c r="I6" s="352">
        <v>439345</v>
      </c>
      <c r="J6" s="352">
        <v>512379</v>
      </c>
      <c r="K6" s="352">
        <v>493395</v>
      </c>
      <c r="L6" s="352">
        <v>547369</v>
      </c>
      <c r="M6" s="352">
        <v>588543</v>
      </c>
      <c r="N6" s="352">
        <v>651987</v>
      </c>
      <c r="O6" s="352">
        <v>751295</v>
      </c>
      <c r="P6" s="9">
        <f>SUM(P4:P5)</f>
        <v>830180.83283362514</v>
      </c>
      <c r="Q6" s="9">
        <f t="shared" ref="Q6:U6" si="5">SUM(Q4:Q5)</f>
        <v>922800.28474445478</v>
      </c>
      <c r="R6" s="9">
        <f t="shared" si="5"/>
        <v>1029410.1166951929</v>
      </c>
      <c r="S6" s="9">
        <f t="shared" si="5"/>
        <v>1152421.2187247006</v>
      </c>
      <c r="T6" s="9">
        <f t="shared" si="5"/>
        <v>1294442.3535150397</v>
      </c>
      <c r="U6" s="9">
        <f t="shared" si="5"/>
        <v>1455210.4099219984</v>
      </c>
      <c r="V6" s="7"/>
      <c r="W6" s="407"/>
    </row>
    <row r="7" spans="2:39" x14ac:dyDescent="0.3"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W7" s="407"/>
    </row>
    <row r="8" spans="2:39" x14ac:dyDescent="0.3">
      <c r="B8" t="s">
        <v>41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W8" s="407"/>
      <c r="Y8" s="6"/>
    </row>
    <row r="9" spans="2:39" x14ac:dyDescent="0.3">
      <c r="B9" s="1" t="s">
        <v>42</v>
      </c>
      <c r="G9" s="351">
        <v>-46109</v>
      </c>
      <c r="H9" s="351">
        <v>-48058</v>
      </c>
      <c r="I9" s="351">
        <v>-52783</v>
      </c>
      <c r="J9" s="351">
        <v>-57232</v>
      </c>
      <c r="K9" s="351">
        <v>-56547</v>
      </c>
      <c r="L9" s="351">
        <v>-61280</v>
      </c>
      <c r="M9" s="351">
        <v>-63743</v>
      </c>
      <c r="N9" s="351">
        <v>-64857</v>
      </c>
      <c r="O9" s="351">
        <v>-67757</v>
      </c>
      <c r="P9" s="6">
        <f>P180*-1</f>
        <v>-74279.337674587514</v>
      </c>
      <c r="Q9" s="6">
        <f t="shared" ref="Q9:T9" si="6">Q180*-1</f>
        <v>-81565.867865052933</v>
      </c>
      <c r="R9" s="6">
        <f t="shared" si="6"/>
        <v>-89881.331084580277</v>
      </c>
      <c r="S9" s="6">
        <f t="shared" si="6"/>
        <v>-99390.974997818033</v>
      </c>
      <c r="T9" s="6">
        <f t="shared" si="6"/>
        <v>-111226.15778351454</v>
      </c>
      <c r="U9" s="6">
        <f t="shared" ref="U9" si="7">U180*-1</f>
        <v>-124670.90661074726</v>
      </c>
      <c r="V9" s="6"/>
      <c r="W9" s="407"/>
      <c r="Y9" s="65"/>
    </row>
    <row r="10" spans="2:39" x14ac:dyDescent="0.3">
      <c r="B10" s="1" t="s">
        <v>43</v>
      </c>
      <c r="G10" s="351">
        <v>-19248</v>
      </c>
      <c r="H10" s="351">
        <v>-22238</v>
      </c>
      <c r="I10" s="351">
        <v>-26295</v>
      </c>
      <c r="J10" s="351">
        <v>-29108</v>
      </c>
      <c r="K10" s="351">
        <v>-28639</v>
      </c>
      <c r="L10" s="351">
        <v>-23228</v>
      </c>
      <c r="M10" s="351">
        <v>-24022</v>
      </c>
      <c r="N10" s="351">
        <v>-23333</v>
      </c>
      <c r="O10" s="351">
        <v>-26249</v>
      </c>
      <c r="P10" s="6">
        <f>P179*-1</f>
        <v>-28713.021285975006</v>
      </c>
      <c r="Q10" s="6">
        <f t="shared" ref="Q10:T10" si="8">Q179*-1</f>
        <v>-29031.919070612061</v>
      </c>
      <c r="R10" s="6">
        <f t="shared" si="8"/>
        <v>-30728.660199856502</v>
      </c>
      <c r="S10" s="6">
        <f t="shared" si="8"/>
        <v>-33415.93124926641</v>
      </c>
      <c r="T10" s="6">
        <f t="shared" si="8"/>
        <v>-36436.155135978901</v>
      </c>
      <c r="U10" s="6">
        <f t="shared" ref="U10" si="9">U179*-1</f>
        <v>-40840.469406968929</v>
      </c>
      <c r="V10" s="6"/>
      <c r="W10" s="407"/>
      <c r="Y10" s="65"/>
    </row>
    <row r="11" spans="2:39" x14ac:dyDescent="0.3">
      <c r="B11" s="3" t="s">
        <v>44</v>
      </c>
      <c r="G11" s="352">
        <v>-65357</v>
      </c>
      <c r="H11" s="352">
        <v>-70296</v>
      </c>
      <c r="I11" s="352">
        <v>-79078</v>
      </c>
      <c r="J11" s="352">
        <v>-86340</v>
      </c>
      <c r="K11" s="352">
        <v>-85186</v>
      </c>
      <c r="L11" s="352">
        <v>-84508</v>
      </c>
      <c r="M11" s="352">
        <v>-87765</v>
      </c>
      <c r="N11" s="352">
        <v>-88190</v>
      </c>
      <c r="O11" s="352">
        <v>-94006</v>
      </c>
      <c r="P11" s="9">
        <f>SUM(P9:P10)</f>
        <v>-102992.35896056252</v>
      </c>
      <c r="Q11" s="9">
        <f t="shared" ref="Q11:U11" si="10">SUM(Q9:Q10)</f>
        <v>-110597.78693566499</v>
      </c>
      <c r="R11" s="9">
        <f t="shared" si="10"/>
        <v>-120609.99128443678</v>
      </c>
      <c r="S11" s="9">
        <f t="shared" si="10"/>
        <v>-132806.90624708444</v>
      </c>
      <c r="T11" s="9">
        <f t="shared" si="10"/>
        <v>-147662.31291949344</v>
      </c>
      <c r="U11" s="9">
        <f t="shared" si="10"/>
        <v>-165511.37601771619</v>
      </c>
      <c r="V11" s="7"/>
      <c r="W11" s="407"/>
      <c r="Y11" s="6"/>
      <c r="Z11" s="6"/>
      <c r="AA11" s="6"/>
      <c r="AB11" s="6"/>
      <c r="AC11" s="6"/>
      <c r="AD11" s="6"/>
    </row>
    <row r="12" spans="2:39" x14ac:dyDescent="0.3"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W12" s="407"/>
      <c r="Y12" s="6"/>
      <c r="Z12" s="6"/>
      <c r="AA12" s="6"/>
      <c r="AB12" s="6"/>
      <c r="AC12" s="6"/>
    </row>
    <row r="13" spans="2:39" x14ac:dyDescent="0.3">
      <c r="B13" t="s">
        <v>45</v>
      </c>
      <c r="G13" s="351">
        <v>-130</v>
      </c>
      <c r="H13" s="351">
        <v>-1273</v>
      </c>
      <c r="I13" s="351">
        <v>499</v>
      </c>
      <c r="J13" s="351">
        <v>-326</v>
      </c>
      <c r="K13" s="351">
        <v>-1128</v>
      </c>
      <c r="L13" s="351">
        <v>562</v>
      </c>
      <c r="M13" s="351">
        <v>-93</v>
      </c>
      <c r="N13" s="351">
        <v>1106</v>
      </c>
      <c r="O13" s="351">
        <v>1677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/>
      <c r="W13" s="407"/>
      <c r="Y13" s="6"/>
      <c r="Z13" s="6"/>
      <c r="AA13" s="6"/>
      <c r="AB13" s="6"/>
      <c r="AC13" s="6"/>
    </row>
    <row r="14" spans="2:39" x14ac:dyDescent="0.3"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W14" s="407"/>
      <c r="Y14" s="71"/>
      <c r="Z14" s="71"/>
      <c r="AA14" s="71"/>
      <c r="AB14" s="71"/>
      <c r="AC14" s="71"/>
    </row>
    <row r="15" spans="2:39" x14ac:dyDescent="0.3">
      <c r="B15" s="3" t="s">
        <v>46</v>
      </c>
      <c r="G15" s="352">
        <v>249018</v>
      </c>
      <c r="H15" s="352">
        <v>286556</v>
      </c>
      <c r="I15" s="352">
        <v>360766</v>
      </c>
      <c r="J15" s="352">
        <v>425713</v>
      </c>
      <c r="K15" s="352">
        <v>407081</v>
      </c>
      <c r="L15" s="352">
        <v>463423</v>
      </c>
      <c r="M15" s="352">
        <v>500685</v>
      </c>
      <c r="N15" s="352">
        <v>564903</v>
      </c>
      <c r="O15" s="352">
        <v>658966</v>
      </c>
      <c r="P15" s="9">
        <f>P6+P11+P13</f>
        <v>727188.47387306264</v>
      </c>
      <c r="Q15" s="9">
        <f t="shared" ref="Q15:T15" si="11">Q6+Q11+Q13</f>
        <v>812202.49780878983</v>
      </c>
      <c r="R15" s="9">
        <f t="shared" si="11"/>
        <v>908800.1254107561</v>
      </c>
      <c r="S15" s="9">
        <f t="shared" si="11"/>
        <v>1019614.3124776161</v>
      </c>
      <c r="T15" s="9">
        <f t="shared" si="11"/>
        <v>1146780.0405955461</v>
      </c>
      <c r="U15" s="9">
        <f t="shared" ref="U15" si="12">U6+U11+U13</f>
        <v>1289699.0339042821</v>
      </c>
      <c r="V15" s="7"/>
      <c r="W15" s="407"/>
    </row>
    <row r="16" spans="2:39" x14ac:dyDescent="0.3"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W16" s="410" t="s">
        <v>48</v>
      </c>
      <c r="Y16" s="280"/>
      <c r="AH16" s="7">
        <f t="shared" ref="AH16:AM16" si="13">AH17*P4</f>
        <v>1872.5883447375004</v>
      </c>
      <c r="AI16" s="7">
        <f t="shared" si="13"/>
        <v>1935.4612713741374</v>
      </c>
      <c r="AJ16" s="7">
        <f t="shared" si="13"/>
        <v>2151.0062139899551</v>
      </c>
      <c r="AK16" s="7">
        <f t="shared" si="13"/>
        <v>2399.0924999473318</v>
      </c>
      <c r="AL16" s="7">
        <f t="shared" si="13"/>
        <v>2493.0000882511877</v>
      </c>
      <c r="AM16" s="7">
        <f t="shared" si="13"/>
        <v>2794.347906792611</v>
      </c>
    </row>
    <row r="17" spans="2:39" x14ac:dyDescent="0.3">
      <c r="B17" t="s">
        <v>47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W17" s="410" t="s">
        <v>398</v>
      </c>
      <c r="Y17" s="281">
        <f t="shared" ref="Y17:AG17" si="14">G18/G4</f>
        <v>1.4814964801803444E-3</v>
      </c>
      <c r="Z17" s="65">
        <f t="shared" si="14"/>
        <v>1.7104423096910217E-3</v>
      </c>
      <c r="AA17" s="65">
        <f t="shared" si="14"/>
        <v>2.0547800950911684E-3</v>
      </c>
      <c r="AB17" s="65">
        <f t="shared" si="14"/>
        <v>1.4842347555042771E-3</v>
      </c>
      <c r="AC17" s="65">
        <f t="shared" si="14"/>
        <v>1.630019040719496E-3</v>
      </c>
      <c r="AD17" s="65">
        <f t="shared" si="14"/>
        <v>1.308642609917412E-3</v>
      </c>
      <c r="AE17" s="65">
        <f t="shared" si="14"/>
        <v>1.4385029871161045E-3</v>
      </c>
      <c r="AF17" s="65">
        <f t="shared" si="14"/>
        <v>1.417660048370599E-3</v>
      </c>
      <c r="AG17" s="65">
        <f t="shared" si="14"/>
        <v>1.485755702965251E-3</v>
      </c>
      <c r="AH17" s="65">
        <v>1.5E-3</v>
      </c>
      <c r="AI17" s="65">
        <v>1.4E-3</v>
      </c>
      <c r="AJ17" s="65">
        <v>1.4E-3</v>
      </c>
      <c r="AK17" s="65">
        <v>1.4E-3</v>
      </c>
      <c r="AL17" s="65">
        <v>1.2999999999999999E-3</v>
      </c>
      <c r="AM17" s="65">
        <v>1.2999999999999999E-3</v>
      </c>
    </row>
    <row r="18" spans="2:39" x14ac:dyDescent="0.3">
      <c r="B18" s="1" t="s">
        <v>48</v>
      </c>
      <c r="G18" s="351">
        <v>878</v>
      </c>
      <c r="H18" s="351">
        <v>1152</v>
      </c>
      <c r="I18" s="351">
        <v>1561</v>
      </c>
      <c r="J18" s="351">
        <v>1289</v>
      </c>
      <c r="K18" s="351">
        <v>1368</v>
      </c>
      <c r="L18" s="351">
        <v>1222</v>
      </c>
      <c r="M18" s="351">
        <v>1424</v>
      </c>
      <c r="N18" s="351">
        <v>1483</v>
      </c>
      <c r="O18" s="351">
        <v>1685</v>
      </c>
      <c r="P18" s="6">
        <f t="shared" ref="P18:U18" si="15">AH16</f>
        <v>1872.5883447375004</v>
      </c>
      <c r="Q18" s="6">
        <f t="shared" si="15"/>
        <v>1935.4612713741374</v>
      </c>
      <c r="R18" s="6">
        <f t="shared" si="15"/>
        <v>2151.0062139899551</v>
      </c>
      <c r="S18" s="6">
        <f t="shared" si="15"/>
        <v>2399.0924999473318</v>
      </c>
      <c r="T18" s="6">
        <f t="shared" si="15"/>
        <v>2493.0000882511877</v>
      </c>
      <c r="U18" s="6">
        <f t="shared" si="15"/>
        <v>2794.347906792611</v>
      </c>
      <c r="V18" s="6"/>
      <c r="W18" s="411"/>
      <c r="Y18" s="280"/>
    </row>
    <row r="19" spans="2:39" x14ac:dyDescent="0.3">
      <c r="B19" s="1" t="s">
        <v>51</v>
      </c>
      <c r="G19" s="351">
        <v>16661</v>
      </c>
      <c r="H19" s="351">
        <v>18341</v>
      </c>
      <c r="I19" s="351">
        <v>19966</v>
      </c>
      <c r="J19" s="351">
        <v>21750</v>
      </c>
      <c r="K19" s="351">
        <v>22182</v>
      </c>
      <c r="L19" s="351">
        <v>21501</v>
      </c>
      <c r="M19" s="351">
        <v>23222</v>
      </c>
      <c r="N19" s="351">
        <v>26463</v>
      </c>
      <c r="O19" s="351">
        <v>26146</v>
      </c>
      <c r="P19" s="6">
        <f ca="1">P424</f>
        <v>26769.66693309039</v>
      </c>
      <c r="Q19" s="6">
        <f t="shared" ref="Q19:U19" ca="1" si="16">Q424</f>
        <v>30552.203870382938</v>
      </c>
      <c r="R19" s="6">
        <f t="shared" ca="1" si="16"/>
        <v>34450.594916384573</v>
      </c>
      <c r="S19" s="6">
        <f t="shared" ca="1" si="16"/>
        <v>38634.096121635688</v>
      </c>
      <c r="T19" s="6">
        <f t="shared" ca="1" si="16"/>
        <v>42747.067696541882</v>
      </c>
      <c r="U19" s="6">
        <f t="shared" ca="1" si="16"/>
        <v>51589.505827996421</v>
      </c>
      <c r="V19" s="6"/>
      <c r="W19" s="412" t="s">
        <v>51</v>
      </c>
      <c r="AH19" s="282">
        <f t="shared" ref="AH19:AM19" si="17">P4*AH20</f>
        <v>29961.413515800006</v>
      </c>
      <c r="AI19" s="282">
        <f t="shared" si="17"/>
        <v>34561.80841739531</v>
      </c>
      <c r="AJ19" s="282">
        <f t="shared" si="17"/>
        <v>39947.258259813454</v>
      </c>
      <c r="AK19" s="282">
        <f t="shared" si="17"/>
        <v>46268.212498984256</v>
      </c>
      <c r="AL19" s="282">
        <f t="shared" si="17"/>
        <v>53695.386516179431</v>
      </c>
      <c r="AM19" s="282">
        <f t="shared" si="17"/>
        <v>62335.453305373638</v>
      </c>
    </row>
    <row r="20" spans="2:39" x14ac:dyDescent="0.3">
      <c r="B20" s="1" t="s">
        <v>49</v>
      </c>
      <c r="G20" s="351">
        <v>-14</v>
      </c>
      <c r="H20" s="351">
        <v>262</v>
      </c>
      <c r="I20" s="351">
        <v>1894</v>
      </c>
      <c r="J20" s="351">
        <v>46</v>
      </c>
      <c r="K20" s="351">
        <v>264</v>
      </c>
      <c r="L20" s="351">
        <v>6890</v>
      </c>
      <c r="M20" s="351">
        <v>38</v>
      </c>
      <c r="N20" s="351">
        <v>-486</v>
      </c>
      <c r="O20" s="351">
        <v>1003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/>
      <c r="W20" s="410" t="s">
        <v>300</v>
      </c>
      <c r="Y20" s="281">
        <f t="shared" ref="Y20:AG20" si="18">G19/G4</f>
        <v>2.8112998697363004E-2</v>
      </c>
      <c r="Z20" s="65">
        <f t="shared" si="18"/>
        <v>2.7231963890662351E-2</v>
      </c>
      <c r="AA20" s="65">
        <f t="shared" si="18"/>
        <v>2.6281703637790053E-2</v>
      </c>
      <c r="AB20" s="65">
        <f t="shared" si="18"/>
        <v>2.5044302507539199E-2</v>
      </c>
      <c r="AC20" s="65">
        <f t="shared" si="18"/>
        <v>2.6430615761140249E-2</v>
      </c>
      <c r="AD20" s="65">
        <f t="shared" si="18"/>
        <v>2.3025470340289914E-2</v>
      </c>
      <c r="AE20" s="65">
        <f t="shared" si="18"/>
        <v>2.3458508684557712E-2</v>
      </c>
      <c r="AF20" s="65">
        <f t="shared" si="18"/>
        <v>2.5297058570486287E-2</v>
      </c>
      <c r="AG20" s="65">
        <f t="shared" si="18"/>
        <v>2.3054343388563471E-2</v>
      </c>
      <c r="AH20" s="65">
        <v>2.4E-2</v>
      </c>
      <c r="AI20" s="65">
        <v>2.5000000000000001E-2</v>
      </c>
      <c r="AJ20" s="65">
        <v>2.5999999999999999E-2</v>
      </c>
      <c r="AK20" s="65">
        <v>2.7E-2</v>
      </c>
      <c r="AL20" s="65">
        <v>2.8000000000000001E-2</v>
      </c>
      <c r="AM20" s="65">
        <v>2.9000000000000001E-2</v>
      </c>
    </row>
    <row r="21" spans="2:39" x14ac:dyDescent="0.3">
      <c r="B21" s="3" t="s">
        <v>50</v>
      </c>
      <c r="G21" s="352">
        <v>17525</v>
      </c>
      <c r="H21" s="352">
        <v>19755</v>
      </c>
      <c r="I21" s="352">
        <v>23421</v>
      </c>
      <c r="J21" s="352">
        <v>23085</v>
      </c>
      <c r="K21" s="352">
        <v>23814</v>
      </c>
      <c r="L21" s="352">
        <v>29613</v>
      </c>
      <c r="M21" s="352">
        <v>24684</v>
      </c>
      <c r="N21" s="352">
        <v>27460</v>
      </c>
      <c r="O21" s="352">
        <v>28834</v>
      </c>
      <c r="P21" s="9">
        <f ca="1">SUM(P18:P20)</f>
        <v>28642.255277827891</v>
      </c>
      <c r="Q21" s="9">
        <f t="shared" ref="Q21:U21" ca="1" si="19">SUM(Q18:Q20)</f>
        <v>32487.665141757076</v>
      </c>
      <c r="R21" s="9">
        <f t="shared" ca="1" si="19"/>
        <v>36601.601130374525</v>
      </c>
      <c r="S21" s="9">
        <f t="shared" ca="1" si="19"/>
        <v>41033.188621583016</v>
      </c>
      <c r="T21" s="9">
        <f t="shared" ca="1" si="19"/>
        <v>45240.067784793071</v>
      </c>
      <c r="U21" s="9">
        <f t="shared" ca="1" si="19"/>
        <v>54383.853734789031</v>
      </c>
      <c r="V21" s="7"/>
      <c r="W21" s="413" t="s">
        <v>401</v>
      </c>
      <c r="Y21" s="281">
        <f t="shared" ref="Y21:AL21" si="20">G19/G83</f>
        <v>9.8109994370496698E-3</v>
      </c>
      <c r="Z21" s="65">
        <f t="shared" si="20"/>
        <v>1.0194388722975088E-2</v>
      </c>
      <c r="AA21" s="65">
        <f t="shared" si="20"/>
        <v>1.0582044233008495E-2</v>
      </c>
      <c r="AB21" s="65">
        <f t="shared" si="20"/>
        <v>1.022265650887115E-2</v>
      </c>
      <c r="AC21" s="65">
        <f t="shared" si="20"/>
        <v>9.2625534281719924E-3</v>
      </c>
      <c r="AD21" s="65">
        <f t="shared" si="20"/>
        <v>9.0931620909747591E-3</v>
      </c>
      <c r="AE21" s="65">
        <f t="shared" si="20"/>
        <v>9.3987313210232154E-3</v>
      </c>
      <c r="AF21" s="65">
        <f t="shared" si="20"/>
        <v>9.560829754149059E-3</v>
      </c>
      <c r="AG21" s="65">
        <f t="shared" si="20"/>
        <v>8.613019277337838E-3</v>
      </c>
      <c r="AH21" s="65">
        <f t="shared" ca="1" si="20"/>
        <v>7.8970821467193517E-3</v>
      </c>
      <c r="AI21" s="65">
        <f t="shared" ca="1" si="20"/>
        <v>8.0606792579401357E-3</v>
      </c>
      <c r="AJ21" s="65">
        <f t="shared" ca="1" si="20"/>
        <v>8.266483694369841E-3</v>
      </c>
      <c r="AK21" s="65">
        <f t="shared" ca="1" si="20"/>
        <v>8.3533197446804056E-3</v>
      </c>
      <c r="AL21" s="65">
        <f t="shared" ca="1" si="20"/>
        <v>8.2860006139744893E-3</v>
      </c>
      <c r="AM21" s="65"/>
    </row>
    <row r="22" spans="2:39" x14ac:dyDescent="0.3"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407"/>
      <c r="AL22" s="3"/>
    </row>
    <row r="23" spans="2:39" x14ac:dyDescent="0.3">
      <c r="B23" s="3" t="s">
        <v>52</v>
      </c>
      <c r="G23" s="353">
        <v>266543</v>
      </c>
      <c r="H23" s="353">
        <v>306311</v>
      </c>
      <c r="I23" s="353">
        <v>384187</v>
      </c>
      <c r="J23" s="353">
        <v>448798</v>
      </c>
      <c r="K23" s="353">
        <v>430895</v>
      </c>
      <c r="L23" s="353">
        <v>493036</v>
      </c>
      <c r="M23" s="353">
        <v>525369</v>
      </c>
      <c r="N23" s="353">
        <v>592363</v>
      </c>
      <c r="O23" s="353">
        <v>687800</v>
      </c>
      <c r="P23" s="7">
        <f ca="1">P15+P21</f>
        <v>755830.72915089049</v>
      </c>
      <c r="Q23" s="7">
        <f t="shared" ref="Q23:T23" ca="1" si="21">Q15+Q21</f>
        <v>844690.16295054695</v>
      </c>
      <c r="R23" s="7">
        <f t="shared" ca="1" si="21"/>
        <v>945401.72654113057</v>
      </c>
      <c r="S23" s="7">
        <f t="shared" ca="1" si="21"/>
        <v>1060647.5010991991</v>
      </c>
      <c r="T23" s="7">
        <f t="shared" ca="1" si="21"/>
        <v>1192020.1083803391</v>
      </c>
      <c r="U23" s="7">
        <f t="shared" ref="U23" ca="1" si="22">U15+U21</f>
        <v>1344082.8876390711</v>
      </c>
      <c r="V23" s="7"/>
      <c r="W23" s="407"/>
      <c r="AL23" s="3"/>
    </row>
    <row r="24" spans="2:39" x14ac:dyDescent="0.3"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407"/>
      <c r="AL24" s="3"/>
    </row>
    <row r="25" spans="2:39" x14ac:dyDescent="0.3">
      <c r="B25" t="s">
        <v>53</v>
      </c>
      <c r="G25" s="351">
        <v>-41322</v>
      </c>
      <c r="H25" s="351">
        <v>-58649</v>
      </c>
      <c r="I25" s="351">
        <v>-59107</v>
      </c>
      <c r="J25" s="351">
        <v>-74329</v>
      </c>
      <c r="K25" s="351">
        <v>-70162</v>
      </c>
      <c r="L25" s="351">
        <v>-95543</v>
      </c>
      <c r="M25" s="351">
        <v>-73614</v>
      </c>
      <c r="N25" s="351">
        <v>-86947</v>
      </c>
      <c r="O25" s="351">
        <v>-114999</v>
      </c>
      <c r="P25" s="6">
        <f ca="1">P316*-1</f>
        <v>-120932.91666414248</v>
      </c>
      <c r="Q25" s="6">
        <f t="shared" ref="Q25:T25" ca="1" si="23">Q316*-1</f>
        <v>-135150.42607208752</v>
      </c>
      <c r="R25" s="6">
        <f t="shared" ca="1" si="23"/>
        <v>-151264.27624658091</v>
      </c>
      <c r="S25" s="6">
        <f t="shared" ca="1" si="23"/>
        <v>-169703.60017587186</v>
      </c>
      <c r="T25" s="6">
        <f t="shared" ca="1" si="23"/>
        <v>-190723.21734085426</v>
      </c>
      <c r="U25" s="6">
        <f t="shared" ref="U25" ca="1" si="24">U316*-1</f>
        <v>-215053.26202225138</v>
      </c>
      <c r="V25" s="6"/>
      <c r="W25" s="407"/>
      <c r="AL25" s="3"/>
    </row>
    <row r="26" spans="2:39" x14ac:dyDescent="0.3"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407"/>
      <c r="AL26" s="3"/>
    </row>
    <row r="27" spans="2:39" x14ac:dyDescent="0.3">
      <c r="B27" s="3" t="s">
        <v>54</v>
      </c>
      <c r="G27" s="354">
        <v>225221</v>
      </c>
      <c r="H27" s="354">
        <v>247662</v>
      </c>
      <c r="I27" s="354">
        <v>325080</v>
      </c>
      <c r="J27" s="354">
        <v>374469</v>
      </c>
      <c r="K27" s="354">
        <v>360733</v>
      </c>
      <c r="L27" s="354">
        <v>397493</v>
      </c>
      <c r="M27" s="354">
        <v>451755</v>
      </c>
      <c r="N27" s="354">
        <v>505416</v>
      </c>
      <c r="O27" s="354">
        <v>572480</v>
      </c>
      <c r="P27" s="8">
        <f ca="1">P23+P25</f>
        <v>634897.81248674798</v>
      </c>
      <c r="Q27" s="8">
        <f t="shared" ref="Q27:T27" ca="1" si="25">Q23+Q25</f>
        <v>709539.73687845946</v>
      </c>
      <c r="R27" s="8">
        <f t="shared" ca="1" si="25"/>
        <v>794137.45029454969</v>
      </c>
      <c r="S27" s="8">
        <f t="shared" ca="1" si="25"/>
        <v>890943.90092332719</v>
      </c>
      <c r="T27" s="8">
        <f t="shared" ca="1" si="25"/>
        <v>1001296.8910394849</v>
      </c>
      <c r="U27" s="8">
        <f t="shared" ref="U27" ca="1" si="26">U23+U25</f>
        <v>1129029.6256168196</v>
      </c>
      <c r="V27" s="7"/>
      <c r="W27" s="407"/>
      <c r="AL27" s="3"/>
    </row>
    <row r="28" spans="2:39" x14ac:dyDescent="0.3"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W28" s="407"/>
      <c r="AL28" s="3"/>
    </row>
    <row r="29" spans="2:39" x14ac:dyDescent="0.3">
      <c r="B29" t="s">
        <v>87</v>
      </c>
      <c r="G29" s="351">
        <v>41274</v>
      </c>
      <c r="H29" s="351">
        <v>13464</v>
      </c>
      <c r="I29" s="351">
        <v>-21056</v>
      </c>
      <c r="J29" s="351">
        <v>37903</v>
      </c>
      <c r="K29" s="351">
        <v>31897</v>
      </c>
      <c r="L29" s="351">
        <v>-254502</v>
      </c>
      <c r="M29" s="351">
        <v>95202</v>
      </c>
      <c r="N29" s="351">
        <v>71076</v>
      </c>
      <c r="O29" s="351">
        <v>53996</v>
      </c>
      <c r="P29" s="6">
        <v>40470</v>
      </c>
      <c r="Q29" s="6">
        <v>40470</v>
      </c>
      <c r="R29" s="6">
        <v>40470</v>
      </c>
      <c r="S29" s="6">
        <v>40470</v>
      </c>
      <c r="T29" s="6">
        <v>40470</v>
      </c>
      <c r="U29" s="6">
        <v>40470</v>
      </c>
      <c r="V29" s="6"/>
      <c r="W29" s="409"/>
      <c r="X29" s="6"/>
      <c r="AL29" s="3"/>
    </row>
    <row r="30" spans="2:39" x14ac:dyDescent="0.3">
      <c r="B30" t="s">
        <v>55</v>
      </c>
      <c r="G30" s="351">
        <v>266495</v>
      </c>
      <c r="H30" s="351">
        <v>261126</v>
      </c>
      <c r="I30" s="351">
        <v>304024</v>
      </c>
      <c r="J30" s="351">
        <v>412372</v>
      </c>
      <c r="K30" s="351">
        <v>392630</v>
      </c>
      <c r="L30" s="351">
        <v>142991</v>
      </c>
      <c r="M30" s="351">
        <v>546957</v>
      </c>
      <c r="N30" s="351">
        <v>576492</v>
      </c>
      <c r="O30" s="351">
        <v>626797</v>
      </c>
      <c r="P30" s="6">
        <f ca="1">P27+P29</f>
        <v>675367.81248674798</v>
      </c>
      <c r="Q30" s="6">
        <f t="shared" ref="Q30:U30" ca="1" si="27">Q27+Q29</f>
        <v>750009.73687845946</v>
      </c>
      <c r="R30" s="6">
        <f t="shared" ca="1" si="27"/>
        <v>834607.45029454969</v>
      </c>
      <c r="S30" s="6">
        <f t="shared" ca="1" si="27"/>
        <v>931413.90092332719</v>
      </c>
      <c r="T30" s="6">
        <f t="shared" ca="1" si="27"/>
        <v>1041766.8910394849</v>
      </c>
      <c r="U30" s="6">
        <f t="shared" ca="1" si="27"/>
        <v>1169499.6256168196</v>
      </c>
      <c r="V30" s="6"/>
      <c r="W30" s="407"/>
      <c r="AL30" s="3"/>
    </row>
    <row r="31" spans="2:39" x14ac:dyDescent="0.3"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W31" s="407"/>
      <c r="AL31" s="3"/>
    </row>
    <row r="32" spans="2:39" x14ac:dyDescent="0.3">
      <c r="B32" t="s">
        <v>56</v>
      </c>
      <c r="G32" s="351">
        <v>225485</v>
      </c>
      <c r="H32" s="351">
        <v>247845</v>
      </c>
      <c r="I32" s="351">
        <v>325258</v>
      </c>
      <c r="J32" s="351">
        <v>374680</v>
      </c>
      <c r="K32" s="351">
        <v>361564</v>
      </c>
      <c r="L32" s="351">
        <v>398273</v>
      </c>
      <c r="M32" s="351">
        <v>452302</v>
      </c>
      <c r="N32" s="351">
        <v>505744</v>
      </c>
      <c r="O32" s="351">
        <v>572160</v>
      </c>
      <c r="P32" s="6">
        <f ca="1">P34-P33</f>
        <v>635231.81248674798</v>
      </c>
      <c r="Q32" s="6">
        <f t="shared" ref="Q32:U32" ca="1" si="28">Q34-Q33</f>
        <v>709873.73687845946</v>
      </c>
      <c r="R32" s="6">
        <f t="shared" ca="1" si="28"/>
        <v>794471.45029454969</v>
      </c>
      <c r="S32" s="6">
        <f t="shared" ca="1" si="28"/>
        <v>891277.90092332719</v>
      </c>
      <c r="T32" s="6">
        <f t="shared" ca="1" si="28"/>
        <v>1001630.8910394849</v>
      </c>
      <c r="U32" s="6">
        <f t="shared" ca="1" si="28"/>
        <v>1129363.6256168196</v>
      </c>
      <c r="V32" s="6"/>
      <c r="W32" s="407"/>
      <c r="AL32" s="3"/>
    </row>
    <row r="33" spans="1:39" x14ac:dyDescent="0.3">
      <c r="B33" t="s">
        <v>33</v>
      </c>
      <c r="G33" s="351">
        <v>-264</v>
      </c>
      <c r="H33" s="351">
        <v>-183</v>
      </c>
      <c r="I33" s="351">
        <v>-178</v>
      </c>
      <c r="J33" s="351">
        <v>-211</v>
      </c>
      <c r="K33" s="351">
        <v>-831</v>
      </c>
      <c r="L33" s="351">
        <v>-780</v>
      </c>
      <c r="M33" s="351">
        <v>-547</v>
      </c>
      <c r="N33" s="351">
        <v>-328</v>
      </c>
      <c r="O33" s="351">
        <v>320</v>
      </c>
      <c r="P33" s="6">
        <v>-334</v>
      </c>
      <c r="Q33" s="6">
        <v>-334</v>
      </c>
      <c r="R33" s="6">
        <v>-334</v>
      </c>
      <c r="S33" s="6">
        <v>-334</v>
      </c>
      <c r="T33" s="6">
        <v>-334</v>
      </c>
      <c r="U33" s="6">
        <v>-334</v>
      </c>
      <c r="V33" s="6"/>
      <c r="W33" s="407"/>
      <c r="X33" s="6"/>
      <c r="AL33" s="3"/>
    </row>
    <row r="34" spans="1:39" x14ac:dyDescent="0.3">
      <c r="G34" s="351">
        <v>225221</v>
      </c>
      <c r="H34" s="351">
        <v>247662</v>
      </c>
      <c r="I34" s="351">
        <v>325080</v>
      </c>
      <c r="J34" s="351">
        <v>374469</v>
      </c>
      <c r="K34" s="351">
        <v>360733</v>
      </c>
      <c r="L34" s="351">
        <v>397493</v>
      </c>
      <c r="M34" s="351">
        <v>451755</v>
      </c>
      <c r="N34" s="351">
        <v>505416</v>
      </c>
      <c r="O34" s="351">
        <v>572480</v>
      </c>
      <c r="P34" s="6">
        <f ca="1">P27</f>
        <v>634897.81248674798</v>
      </c>
      <c r="Q34" s="6">
        <f t="shared" ref="Q34:U34" ca="1" si="29">Q27</f>
        <v>709539.73687845946</v>
      </c>
      <c r="R34" s="6">
        <f t="shared" ca="1" si="29"/>
        <v>794137.45029454969</v>
      </c>
      <c r="S34" s="6">
        <f t="shared" ca="1" si="29"/>
        <v>890943.90092332719</v>
      </c>
      <c r="T34" s="6">
        <f t="shared" ca="1" si="29"/>
        <v>1001296.8910394849</v>
      </c>
      <c r="U34" s="6">
        <f t="shared" ca="1" si="29"/>
        <v>1129029.6256168196</v>
      </c>
      <c r="V34" s="6"/>
      <c r="W34" s="407"/>
      <c r="AL34" s="3"/>
    </row>
    <row r="35" spans="1:39" x14ac:dyDescent="0.3">
      <c r="W35" s="407"/>
      <c r="AL35" s="3"/>
    </row>
    <row r="36" spans="1:39" x14ac:dyDescent="0.3">
      <c r="A36" t="s">
        <v>90</v>
      </c>
      <c r="B36" s="369" t="s">
        <v>58</v>
      </c>
      <c r="C36" s="368"/>
      <c r="D36" s="368"/>
      <c r="E36" s="368"/>
      <c r="F36" s="368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W36" s="407"/>
      <c r="AL36" s="3"/>
    </row>
    <row r="37" spans="1:39" x14ac:dyDescent="0.3">
      <c r="B37" s="4" t="s">
        <v>8</v>
      </c>
      <c r="G37" s="74">
        <f>G2</f>
        <v>45382</v>
      </c>
      <c r="H37" s="74">
        <f t="shared" ref="H37:O37" si="30">H2</f>
        <v>45473</v>
      </c>
      <c r="I37" s="74">
        <f t="shared" si="30"/>
        <v>45565</v>
      </c>
      <c r="J37" s="74">
        <f t="shared" si="30"/>
        <v>45656</v>
      </c>
      <c r="K37" s="74">
        <f t="shared" si="30"/>
        <v>45746</v>
      </c>
      <c r="L37" s="74">
        <f t="shared" si="30"/>
        <v>45838</v>
      </c>
      <c r="M37" s="74">
        <f t="shared" si="30"/>
        <v>45930</v>
      </c>
      <c r="N37" s="74">
        <f t="shared" si="30"/>
        <v>46021</v>
      </c>
      <c r="O37" s="74">
        <f t="shared" si="30"/>
        <v>46111</v>
      </c>
      <c r="P37" s="74">
        <f t="shared" ref="P37:U37" si="31">P2</f>
        <v>46203</v>
      </c>
      <c r="Q37" s="74">
        <f t="shared" si="31"/>
        <v>46295</v>
      </c>
      <c r="R37" s="74">
        <f t="shared" si="31"/>
        <v>46386</v>
      </c>
      <c r="S37" s="74">
        <f t="shared" si="31"/>
        <v>46476</v>
      </c>
      <c r="T37" s="74">
        <f t="shared" si="31"/>
        <v>46568</v>
      </c>
      <c r="U37" s="345" t="str">
        <f t="shared" si="31"/>
        <v>Term</v>
      </c>
      <c r="V37" s="170"/>
      <c r="W37" s="407"/>
      <c r="AL37" s="3"/>
    </row>
    <row r="38" spans="1:39" x14ac:dyDescent="0.3">
      <c r="W38" s="407"/>
      <c r="AL38" s="3"/>
    </row>
    <row r="39" spans="1:39" x14ac:dyDescent="0.3">
      <c r="B39" t="s">
        <v>57</v>
      </c>
      <c r="W39" s="407"/>
      <c r="AL39" s="3"/>
    </row>
    <row r="40" spans="1:39" x14ac:dyDescent="0.3">
      <c r="B40" s="1" t="s">
        <v>59</v>
      </c>
      <c r="G40" s="351">
        <v>266543</v>
      </c>
      <c r="H40" s="351">
        <v>306311</v>
      </c>
      <c r="I40" s="351">
        <v>384187</v>
      </c>
      <c r="J40" s="351">
        <v>448798</v>
      </c>
      <c r="K40" s="351">
        <v>430895</v>
      </c>
      <c r="L40" s="351">
        <v>493036</v>
      </c>
      <c r="M40" s="351">
        <v>525369</v>
      </c>
      <c r="N40" s="351">
        <v>592363</v>
      </c>
      <c r="O40" s="351">
        <v>687800</v>
      </c>
      <c r="P40" s="6">
        <f ca="1">P23</f>
        <v>755830.72915089049</v>
      </c>
      <c r="Q40" s="6">
        <f t="shared" ref="Q40:T40" ca="1" si="32">Q23</f>
        <v>844690.16295054695</v>
      </c>
      <c r="R40" s="6">
        <f t="shared" ca="1" si="32"/>
        <v>945401.72654113057</v>
      </c>
      <c r="S40" s="6">
        <f t="shared" ca="1" si="32"/>
        <v>1060647.5010991991</v>
      </c>
      <c r="T40" s="6">
        <f t="shared" ca="1" si="32"/>
        <v>1192020.1083803391</v>
      </c>
      <c r="W40" s="407"/>
      <c r="AL40" s="3"/>
    </row>
    <row r="41" spans="1:39" x14ac:dyDescent="0.3">
      <c r="B41" s="1" t="s">
        <v>60</v>
      </c>
      <c r="G41" s="351">
        <v>159023</v>
      </c>
      <c r="H41" s="351">
        <v>165166</v>
      </c>
      <c r="I41" s="351">
        <v>168229</v>
      </c>
      <c r="J41" s="351">
        <v>170378</v>
      </c>
      <c r="K41" s="351">
        <v>175139</v>
      </c>
      <c r="L41" s="351">
        <v>188058</v>
      </c>
      <c r="M41" s="351">
        <v>162787</v>
      </c>
      <c r="N41" s="351">
        <v>162112</v>
      </c>
      <c r="O41" s="351">
        <v>165450</v>
      </c>
      <c r="P41" s="6">
        <f>P241</f>
        <v>176696.25116140625</v>
      </c>
      <c r="Q41" s="6">
        <f t="shared" ref="Q41:T41" ca="1" si="33">Q241</f>
        <v>185192.69573068258</v>
      </c>
      <c r="R41" s="6">
        <f t="shared" ca="1" si="33"/>
        <v>194475.31183272257</v>
      </c>
      <c r="S41" s="6">
        <f t="shared" ca="1" si="33"/>
        <v>204650.0344887492</v>
      </c>
      <c r="T41" s="6">
        <f t="shared" ca="1" si="33"/>
        <v>215836.57334628658</v>
      </c>
      <c r="W41" s="407"/>
      <c r="AL41" s="3"/>
    </row>
    <row r="42" spans="1:39" x14ac:dyDescent="0.3">
      <c r="B42" s="1" t="s">
        <v>61</v>
      </c>
      <c r="G42" s="351">
        <v>-878</v>
      </c>
      <c r="H42" s="351">
        <v>-1152</v>
      </c>
      <c r="I42" s="351">
        <v>-1561</v>
      </c>
      <c r="J42" s="351">
        <v>-1289</v>
      </c>
      <c r="K42" s="351">
        <v>-1368</v>
      </c>
      <c r="L42" s="351">
        <v>-1222</v>
      </c>
      <c r="M42" s="351">
        <v>-1424</v>
      </c>
      <c r="N42" s="351">
        <v>-1483</v>
      </c>
      <c r="O42" s="351">
        <v>-1685</v>
      </c>
      <c r="P42" s="6">
        <f>P18*-1</f>
        <v>-1872.5883447375004</v>
      </c>
      <c r="Q42" s="6">
        <f t="shared" ref="Q42:T42" si="34">Q18*-1</f>
        <v>-1935.4612713741374</v>
      </c>
      <c r="R42" s="6">
        <f t="shared" si="34"/>
        <v>-2151.0062139899551</v>
      </c>
      <c r="S42" s="6">
        <f t="shared" si="34"/>
        <v>-2399.0924999473318</v>
      </c>
      <c r="T42" s="6">
        <f t="shared" si="34"/>
        <v>-2493.0000882511877</v>
      </c>
      <c r="W42" s="407"/>
      <c r="AL42" s="3"/>
    </row>
    <row r="43" spans="1:39" x14ac:dyDescent="0.3">
      <c r="B43" s="1" t="s">
        <v>62</v>
      </c>
      <c r="G43" s="351">
        <v>-1051</v>
      </c>
      <c r="H43" s="351">
        <v>-88103</v>
      </c>
      <c r="I43" s="351">
        <v>-93295</v>
      </c>
      <c r="J43" s="351">
        <v>-1190</v>
      </c>
      <c r="K43" s="351">
        <v>-1537</v>
      </c>
      <c r="L43" s="351">
        <v>-127347</v>
      </c>
      <c r="M43" s="351">
        <v>-137266</v>
      </c>
      <c r="N43" s="351">
        <v>-1407</v>
      </c>
      <c r="O43" s="351">
        <v>-1501</v>
      </c>
      <c r="P43" s="6">
        <f ca="1">P25-O25</f>
        <v>-5933.9166641424817</v>
      </c>
      <c r="Q43" s="6">
        <f t="shared" ref="Q43:T43" ca="1" si="35">Q25-P25</f>
        <v>-14217.509407945035</v>
      </c>
      <c r="R43" s="6">
        <f t="shared" ca="1" si="35"/>
        <v>-16113.850174493389</v>
      </c>
      <c r="S43" s="6">
        <f t="shared" ca="1" si="35"/>
        <v>-18439.323929290957</v>
      </c>
      <c r="T43" s="6">
        <f t="shared" ca="1" si="35"/>
        <v>-21019.617164982395</v>
      </c>
      <c r="W43" s="407"/>
      <c r="AL43" s="3"/>
    </row>
    <row r="44" spans="1:39" x14ac:dyDescent="0.3">
      <c r="B44" s="1" t="s">
        <v>63</v>
      </c>
      <c r="G44" s="351">
        <v>12674</v>
      </c>
      <c r="H44" s="351">
        <v>-4554</v>
      </c>
      <c r="I44" s="351">
        <v>-65567</v>
      </c>
      <c r="J44" s="351">
        <v>3508</v>
      </c>
      <c r="K44" s="351">
        <v>22445</v>
      </c>
      <c r="L44" s="351">
        <v>-55461</v>
      </c>
      <c r="M44" s="351">
        <v>-122637</v>
      </c>
      <c r="N44" s="351">
        <v>-26076</v>
      </c>
      <c r="O44" s="351">
        <v>-151088</v>
      </c>
      <c r="P44" s="6">
        <f>P205</f>
        <v>-33750.746126405676</v>
      </c>
      <c r="Q44" s="6">
        <f t="shared" ref="Q44:T44" si="36">Q205</f>
        <v>-70992.408782255297</v>
      </c>
      <c r="R44" s="6">
        <f t="shared" si="36"/>
        <v>-77642.570399342454</v>
      </c>
      <c r="S44" s="6">
        <f t="shared" si="36"/>
        <v>-81694.027798584721</v>
      </c>
      <c r="T44" s="6">
        <f t="shared" si="36"/>
        <v>-71700.01323430342</v>
      </c>
      <c r="W44" s="407"/>
      <c r="Y44" s="358"/>
      <c r="Z44" s="358"/>
      <c r="AA44" s="358"/>
      <c r="AB44" s="358"/>
      <c r="AC44" s="358"/>
      <c r="AL44" s="3"/>
    </row>
    <row r="45" spans="1:39" x14ac:dyDescent="0.3">
      <c r="B45" s="3" t="s">
        <v>64</v>
      </c>
      <c r="G45" s="352">
        <v>436311</v>
      </c>
      <c r="H45" s="352">
        <v>377668</v>
      </c>
      <c r="I45" s="352">
        <v>391993</v>
      </c>
      <c r="J45" s="352">
        <v>620205</v>
      </c>
      <c r="K45" s="352">
        <v>625574</v>
      </c>
      <c r="L45" s="352">
        <v>497064</v>
      </c>
      <c r="M45" s="352">
        <v>426829</v>
      </c>
      <c r="N45" s="352">
        <v>725509</v>
      </c>
      <c r="O45" s="352">
        <v>689976</v>
      </c>
      <c r="P45" s="9">
        <f ca="1">SUM(P40:P44)</f>
        <v>890969.72917701106</v>
      </c>
      <c r="Q45" s="9">
        <f t="shared" ref="Q45:T45" ca="1" si="37">SUM(Q40:Q44)</f>
        <v>942737.47921965516</v>
      </c>
      <c r="R45" s="9">
        <f t="shared" ca="1" si="37"/>
        <v>1043969.6115860272</v>
      </c>
      <c r="S45" s="9">
        <f t="shared" ca="1" si="37"/>
        <v>1162765.0913601252</v>
      </c>
      <c r="T45" s="9">
        <f t="shared" ca="1" si="37"/>
        <v>1312644.0512390886</v>
      </c>
      <c r="W45" s="407"/>
      <c r="Y45" s="359"/>
      <c r="Z45" s="359"/>
      <c r="AA45" s="359"/>
      <c r="AB45" s="359"/>
      <c r="AC45" s="359"/>
      <c r="AD45" s="357"/>
      <c r="AL45" s="3"/>
    </row>
    <row r="46" spans="1:39" x14ac:dyDescent="0.3"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W46" s="407"/>
      <c r="AL46" s="3"/>
    </row>
    <row r="47" spans="1:39" x14ac:dyDescent="0.3">
      <c r="B47" t="s">
        <v>65</v>
      </c>
      <c r="G47" s="6"/>
      <c r="H47" s="6"/>
      <c r="I47" s="6"/>
      <c r="J47" s="6"/>
      <c r="K47" s="6"/>
      <c r="L47" s="6"/>
      <c r="M47" s="6"/>
      <c r="N47" s="6"/>
      <c r="O47" s="6"/>
      <c r="P47" s="356"/>
      <c r="Q47" s="356"/>
      <c r="R47" s="356"/>
      <c r="S47" s="356"/>
      <c r="T47" s="356"/>
      <c r="W47" s="407"/>
      <c r="AH47" s="394"/>
      <c r="AI47" s="394"/>
      <c r="AJ47" s="394"/>
      <c r="AK47" s="394"/>
      <c r="AL47" s="394"/>
      <c r="AM47" s="6"/>
    </row>
    <row r="48" spans="1:39" x14ac:dyDescent="0.3">
      <c r="B48" s="1" t="s">
        <v>66</v>
      </c>
      <c r="G48" s="351">
        <v>17410</v>
      </c>
      <c r="H48" s="351">
        <v>19195</v>
      </c>
      <c r="I48" s="351">
        <v>21356</v>
      </c>
      <c r="J48" s="351">
        <v>18473</v>
      </c>
      <c r="K48" s="351">
        <v>24419</v>
      </c>
      <c r="L48" s="351">
        <v>26025</v>
      </c>
      <c r="M48" s="351">
        <v>22351</v>
      </c>
      <c r="N48" s="351">
        <v>26160</v>
      </c>
      <c r="O48" s="351">
        <v>26746</v>
      </c>
      <c r="P48" s="6">
        <f ca="1">P19</f>
        <v>26769.66693309039</v>
      </c>
      <c r="Q48" s="6">
        <f t="shared" ref="Q48:T48" ca="1" si="38">Q19</f>
        <v>30552.203870382938</v>
      </c>
      <c r="R48" s="6">
        <f t="shared" ca="1" si="38"/>
        <v>34450.594916384573</v>
      </c>
      <c r="S48" s="6">
        <f t="shared" ca="1" si="38"/>
        <v>38634.096121635688</v>
      </c>
      <c r="T48" s="6">
        <f t="shared" ca="1" si="38"/>
        <v>42747.067696541882</v>
      </c>
      <c r="W48" s="407"/>
      <c r="AI48" s="340">
        <f>Q47</f>
        <v>0</v>
      </c>
      <c r="AJ48" s="340">
        <f>R47</f>
        <v>0</v>
      </c>
      <c r="AK48" s="340">
        <f t="shared" ref="AK48:AL48" si="39">S47</f>
        <v>0</v>
      </c>
      <c r="AL48" s="339">
        <f t="shared" si="39"/>
        <v>0</v>
      </c>
    </row>
    <row r="49" spans="2:47" x14ac:dyDescent="0.3">
      <c r="B49" s="1" t="s">
        <v>67</v>
      </c>
      <c r="G49" s="351">
        <v>90</v>
      </c>
      <c r="H49" s="351">
        <v>805</v>
      </c>
      <c r="I49" s="351">
        <v>2405</v>
      </c>
      <c r="J49" s="351">
        <v>207</v>
      </c>
      <c r="K49" s="351">
        <v>95</v>
      </c>
      <c r="L49" s="351">
        <v>1091</v>
      </c>
      <c r="M49" s="351">
        <v>2705</v>
      </c>
      <c r="N49" s="351">
        <v>49</v>
      </c>
      <c r="O49" s="351">
        <v>1041</v>
      </c>
      <c r="P49" s="6">
        <f>AVERAGE(G49:O49)</f>
        <v>943.11111111111109</v>
      </c>
      <c r="Q49" s="6">
        <f t="shared" ref="Q49:T49" si="40">AVERAGE(H49:P49)</f>
        <v>1037.9012345679012</v>
      </c>
      <c r="R49" s="6">
        <f t="shared" si="40"/>
        <v>1063.7791495198903</v>
      </c>
      <c r="S49" s="6">
        <f t="shared" si="40"/>
        <v>914.75461057765585</v>
      </c>
      <c r="T49" s="6">
        <f t="shared" si="40"/>
        <v>993.39401175295097</v>
      </c>
      <c r="U49" t="s">
        <v>465</v>
      </c>
      <c r="W49" s="414" t="s">
        <v>513</v>
      </c>
      <c r="Y49" s="6">
        <f>G56</f>
        <v>-763</v>
      </c>
      <c r="Z49" s="6">
        <f t="shared" ref="Z49:AG49" si="41">H56</f>
        <v>6673</v>
      </c>
      <c r="AA49" s="6">
        <f t="shared" si="41"/>
        <v>7446</v>
      </c>
      <c r="AB49" s="6">
        <f t="shared" si="41"/>
        <v>51560</v>
      </c>
      <c r="AC49" s="6">
        <f t="shared" si="41"/>
        <v>32808</v>
      </c>
      <c r="AD49" s="6">
        <f t="shared" si="41"/>
        <v>29749</v>
      </c>
      <c r="AE49" s="6">
        <f t="shared" si="41"/>
        <v>3823</v>
      </c>
      <c r="AF49" s="6">
        <f t="shared" si="41"/>
        <v>-4939</v>
      </c>
      <c r="AG49" s="6">
        <f t="shared" si="41"/>
        <v>-5375</v>
      </c>
      <c r="AH49" s="134">
        <f>AH50*P4</f>
        <v>18726.343325735255</v>
      </c>
      <c r="AI49" s="134">
        <f t="shared" ref="AI49:AL49" si="42">AI50*Q4</f>
        <v>12642.61100161604</v>
      </c>
      <c r="AJ49" s="134">
        <f t="shared" si="42"/>
        <v>29557.725598032855</v>
      </c>
      <c r="AK49" s="134">
        <f t="shared" si="42"/>
        <v>25380.726122277796</v>
      </c>
      <c r="AL49" s="134">
        <f t="shared" si="42"/>
        <v>35478.186880703943</v>
      </c>
    </row>
    <row r="50" spans="2:47" x14ac:dyDescent="0.3">
      <c r="B50" s="1" t="s">
        <v>68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W50" s="407"/>
      <c r="Y50" s="65">
        <f>Y49/G4</f>
        <v>-1.2874508136419165E-3</v>
      </c>
      <c r="Z50" s="65">
        <f t="shared" ref="Z50:AG50" si="43">Z49/H4</f>
        <v>9.9077964692432189E-3</v>
      </c>
      <c r="AA50" s="65">
        <f t="shared" si="43"/>
        <v>9.8013405432728004E-3</v>
      </c>
      <c r="AB50" s="65">
        <f t="shared" si="43"/>
        <v>5.9369390220171084E-2</v>
      </c>
      <c r="AC50" s="65">
        <f t="shared" si="43"/>
        <v>3.9091860151992126E-2</v>
      </c>
      <c r="AD50" s="65">
        <f t="shared" si="43"/>
        <v>3.1858272506082724E-2</v>
      </c>
      <c r="AE50" s="65">
        <f t="shared" si="43"/>
        <v>3.8619360391466766E-3</v>
      </c>
      <c r="AF50" s="65">
        <f t="shared" si="43"/>
        <v>-4.721391084897093E-3</v>
      </c>
      <c r="AG50" s="65">
        <f t="shared" si="43"/>
        <v>-4.7394284293401923E-3</v>
      </c>
      <c r="AH50" s="235">
        <v>1.50003683765E-2</v>
      </c>
      <c r="AI50" s="235">
        <v>9.1449287381999995E-3</v>
      </c>
      <c r="AJ50" s="235">
        <v>1.9237887630500002E-2</v>
      </c>
      <c r="AK50" s="235">
        <v>1.48110239901E-2</v>
      </c>
      <c r="AL50" s="235">
        <v>1.8500457806750002E-2</v>
      </c>
    </row>
    <row r="51" spans="2:47" x14ac:dyDescent="0.3">
      <c r="B51" s="2" t="s">
        <v>11</v>
      </c>
      <c r="G51" s="351">
        <v>-181305</v>
      </c>
      <c r="H51" s="351">
        <v>-205674</v>
      </c>
      <c r="I51" s="351">
        <v>-207079</v>
      </c>
      <c r="J51" s="351">
        <v>-361949</v>
      </c>
      <c r="K51" s="351">
        <v>-330827</v>
      </c>
      <c r="L51" s="351">
        <v>-297226</v>
      </c>
      <c r="M51" s="351">
        <v>-287452</v>
      </c>
      <c r="N51" s="351">
        <v>-356906</v>
      </c>
      <c r="O51" s="351">
        <v>-350763</v>
      </c>
      <c r="P51" s="6">
        <f>P212*-1</f>
        <v>-374517.66894750006</v>
      </c>
      <c r="Q51" s="6">
        <f t="shared" ref="Q51:T51" si="44">Q212*-1</f>
        <v>-407829.33932526462</v>
      </c>
      <c r="R51" s="6">
        <f t="shared" si="44"/>
        <v>-445565.57289791922</v>
      </c>
      <c r="S51" s="6">
        <f t="shared" si="44"/>
        <v>-488386.68748927827</v>
      </c>
      <c r="T51" s="6">
        <f t="shared" si="44"/>
        <v>-536953.86516179435</v>
      </c>
      <c r="W51" s="409"/>
      <c r="AL51" s="3"/>
    </row>
    <row r="52" spans="2:47" x14ac:dyDescent="0.3">
      <c r="B52" s="2" t="s">
        <v>69</v>
      </c>
      <c r="G52" s="351">
        <v>-45800</v>
      </c>
      <c r="H52" s="351">
        <v>-63263</v>
      </c>
      <c r="I52" s="351">
        <v>-54209</v>
      </c>
      <c r="J52" s="351">
        <v>-77351</v>
      </c>
      <c r="K52" s="351">
        <v>-70741</v>
      </c>
      <c r="L52" s="351">
        <v>-61989</v>
      </c>
      <c r="M52" s="351">
        <v>-50445</v>
      </c>
      <c r="N52" s="351">
        <v>-72197</v>
      </c>
      <c r="O52" s="351">
        <v>-91621</v>
      </c>
      <c r="P52" s="6">
        <v>-96235</v>
      </c>
      <c r="Q52" s="6">
        <v>-74239</v>
      </c>
      <c r="R52" s="6">
        <v>-85734</v>
      </c>
      <c r="S52" s="6">
        <v>-82749</v>
      </c>
      <c r="T52" s="6">
        <v>-59827</v>
      </c>
      <c r="U52" t="s">
        <v>465</v>
      </c>
      <c r="W52" s="414" t="s">
        <v>512</v>
      </c>
      <c r="AL52" s="3"/>
    </row>
    <row r="53" spans="2:47" x14ac:dyDescent="0.3">
      <c r="B53" s="1" t="s">
        <v>70</v>
      </c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W53" s="414" t="s">
        <v>70</v>
      </c>
      <c r="AL53" s="85"/>
    </row>
    <row r="54" spans="2:47" x14ac:dyDescent="0.3">
      <c r="B54" s="2" t="s">
        <v>11</v>
      </c>
      <c r="G54" s="351">
        <v>337</v>
      </c>
      <c r="H54" s="351">
        <v>156</v>
      </c>
      <c r="I54" s="351">
        <v>146</v>
      </c>
      <c r="J54" s="351">
        <v>256</v>
      </c>
      <c r="K54" s="351">
        <v>128</v>
      </c>
      <c r="L54" s="351">
        <v>117</v>
      </c>
      <c r="M54" s="351">
        <v>70</v>
      </c>
      <c r="N54" s="351">
        <v>482</v>
      </c>
      <c r="O54" s="351">
        <v>1813</v>
      </c>
      <c r="P54" s="6">
        <f>AH54</f>
        <v>337.06590205275006</v>
      </c>
      <c r="Q54" s="6">
        <f>AI54</f>
        <v>407.82933932526464</v>
      </c>
      <c r="R54" s="6">
        <f>AJ54</f>
        <v>490.12213018771115</v>
      </c>
      <c r="S54" s="6">
        <f>AK54</f>
        <v>586.06402498713385</v>
      </c>
      <c r="T54" s="6">
        <f>AL54</f>
        <v>698.04002471033266</v>
      </c>
      <c r="W54" s="414" t="s">
        <v>399</v>
      </c>
      <c r="Y54" s="65">
        <f t="shared" ref="Y54:AG54" si="45">G54/G51*-1</f>
        <v>1.8587463114641074E-3</v>
      </c>
      <c r="Z54" s="65">
        <f t="shared" si="45"/>
        <v>7.584818693660842E-4</v>
      </c>
      <c r="AA54" s="65">
        <f t="shared" si="45"/>
        <v>7.0504493454188978E-4</v>
      </c>
      <c r="AB54" s="65">
        <f t="shared" si="45"/>
        <v>7.0728196513873502E-4</v>
      </c>
      <c r="AC54" s="65">
        <f t="shared" si="45"/>
        <v>3.8690917004960298E-4</v>
      </c>
      <c r="AD54" s="65">
        <f t="shared" si="45"/>
        <v>3.9363985654014116E-4</v>
      </c>
      <c r="AE54" s="65">
        <f t="shared" si="45"/>
        <v>2.4351891794108233E-4</v>
      </c>
      <c r="AF54" s="65">
        <f t="shared" si="45"/>
        <v>1.3504956487142273E-3</v>
      </c>
      <c r="AG54" s="65">
        <f t="shared" si="45"/>
        <v>5.168732163882736E-3</v>
      </c>
      <c r="AH54" s="7">
        <f>P51*AH55*-1</f>
        <v>337.06590205275006</v>
      </c>
      <c r="AI54" s="7">
        <f>Q51*AI55*-1</f>
        <v>407.82933932526464</v>
      </c>
      <c r="AJ54" s="7">
        <f>R51*AJ55*-1</f>
        <v>490.12213018771115</v>
      </c>
      <c r="AK54" s="7">
        <f>S51*AK55*-1</f>
        <v>586.06402498713385</v>
      </c>
      <c r="AL54" s="7">
        <f>T51*AL55*-1</f>
        <v>698.04002471033266</v>
      </c>
      <c r="AM54" s="275"/>
    </row>
    <row r="55" spans="2:47" x14ac:dyDescent="0.3">
      <c r="B55" s="2" t="s">
        <v>69</v>
      </c>
      <c r="G55" s="351">
        <v>50224</v>
      </c>
      <c r="H55" s="351">
        <v>44500</v>
      </c>
      <c r="I55" s="351">
        <v>34426</v>
      </c>
      <c r="J55" s="351">
        <v>56885</v>
      </c>
      <c r="K55" s="351">
        <v>53926</v>
      </c>
      <c r="L55" s="351">
        <v>73744</v>
      </c>
      <c r="M55" s="351">
        <v>49196</v>
      </c>
      <c r="N55" s="351">
        <v>41390</v>
      </c>
      <c r="O55" s="351">
        <v>61305</v>
      </c>
      <c r="P55" s="6">
        <v>79875</v>
      </c>
      <c r="Q55" s="6">
        <v>63876</v>
      </c>
      <c r="R55" s="6">
        <v>46188</v>
      </c>
      <c r="S55" s="6">
        <v>56609</v>
      </c>
      <c r="T55" s="6">
        <v>39104</v>
      </c>
      <c r="U55" t="s">
        <v>465</v>
      </c>
      <c r="W55" s="407"/>
      <c r="AH55" s="65">
        <v>8.9999999999999998E-4</v>
      </c>
      <c r="AI55" s="65">
        <v>1E-3</v>
      </c>
      <c r="AJ55" s="65">
        <v>1.1000000000000001E-3</v>
      </c>
      <c r="AK55" s="65">
        <v>1.1999999999999999E-3</v>
      </c>
      <c r="AL55" s="65">
        <v>1.2999999999999999E-3</v>
      </c>
    </row>
    <row r="56" spans="2:47" x14ac:dyDescent="0.3">
      <c r="B56" s="1" t="s">
        <v>71</v>
      </c>
      <c r="G56" s="351">
        <v>-763</v>
      </c>
      <c r="H56" s="351">
        <v>6673</v>
      </c>
      <c r="I56" s="351">
        <v>7446</v>
      </c>
      <c r="J56" s="351">
        <v>51560</v>
      </c>
      <c r="K56" s="351">
        <v>32808</v>
      </c>
      <c r="L56" s="351">
        <v>29749</v>
      </c>
      <c r="M56" s="351">
        <v>3823</v>
      </c>
      <c r="N56" s="351">
        <v>-4939</v>
      </c>
      <c r="O56" s="351">
        <v>-5375</v>
      </c>
      <c r="P56" s="6">
        <f>AH49*-1</f>
        <v>-18726.343325735255</v>
      </c>
      <c r="Q56" s="6">
        <f>AI49</f>
        <v>12642.61100161604</v>
      </c>
      <c r="R56" s="6">
        <f>AJ49*-1</f>
        <v>-29557.725598032855</v>
      </c>
      <c r="S56" s="6">
        <f t="shared" ref="S56" si="46">AK49*-1</f>
        <v>-25380.726122277796</v>
      </c>
      <c r="T56" s="6">
        <f>AL49*-1</f>
        <v>-35478.186880703943</v>
      </c>
      <c r="W56" s="414" t="s">
        <v>69</v>
      </c>
      <c r="Y56" s="65">
        <f t="shared" ref="Y56:AG56" si="47">G55/G52*-1</f>
        <v>1.0965938864628821</v>
      </c>
      <c r="Z56" s="65">
        <f t="shared" si="47"/>
        <v>0.70341273730300491</v>
      </c>
      <c r="AA56" s="65">
        <f t="shared" si="47"/>
        <v>0.63506059879355825</v>
      </c>
      <c r="AB56" s="65">
        <f t="shared" si="47"/>
        <v>0.73541389251593381</v>
      </c>
      <c r="AC56" s="65">
        <f t="shared" si="47"/>
        <v>0.76230191826522098</v>
      </c>
      <c r="AD56" s="65">
        <f t="shared" si="47"/>
        <v>1.189630418300021</v>
      </c>
      <c r="AE56" s="65">
        <f t="shared" si="47"/>
        <v>0.97524036078897813</v>
      </c>
      <c r="AF56" s="65">
        <f t="shared" si="47"/>
        <v>0.5732925190797401</v>
      </c>
      <c r="AG56" s="65">
        <f t="shared" si="47"/>
        <v>0.6691151591883957</v>
      </c>
      <c r="AH56" s="3"/>
      <c r="AI56" s="3"/>
      <c r="AJ56" s="3"/>
      <c r="AK56" s="3"/>
      <c r="AL56" s="3"/>
    </row>
    <row r="57" spans="2:47" x14ac:dyDescent="0.3">
      <c r="B57" s="3" t="s">
        <v>72</v>
      </c>
      <c r="G57" s="352">
        <v>-159807</v>
      </c>
      <c r="H57" s="352">
        <v>-197608</v>
      </c>
      <c r="I57" s="352">
        <v>-195509</v>
      </c>
      <c r="J57" s="352">
        <v>-311919</v>
      </c>
      <c r="K57" s="352">
        <v>-290192</v>
      </c>
      <c r="L57" s="352">
        <v>-228489</v>
      </c>
      <c r="M57" s="352">
        <v>-259752</v>
      </c>
      <c r="N57" s="352">
        <v>-365961</v>
      </c>
      <c r="O57" s="352">
        <v>-356854</v>
      </c>
      <c r="P57" s="9">
        <f ca="1">SUM(P48+P49+P51+P52+P54+P55+P56)</f>
        <v>-381554.16832698107</v>
      </c>
      <c r="Q57" s="9">
        <f t="shared" ref="Q57:T57" ca="1" si="48">SUM(Q48+Q49+Q51+Q52+Q54+Q55+Q56)</f>
        <v>-373551.79387937248</v>
      </c>
      <c r="R57" s="9">
        <f t="shared" ca="1" si="48"/>
        <v>-478664.80229985993</v>
      </c>
      <c r="S57" s="9">
        <f t="shared" ca="1" si="48"/>
        <v>-499772.49885435554</v>
      </c>
      <c r="T57" s="9">
        <f t="shared" ca="1" si="48"/>
        <v>-548716.55030949309</v>
      </c>
      <c r="W57" s="407"/>
      <c r="AL57" s="3"/>
    </row>
    <row r="58" spans="2:47" x14ac:dyDescent="0.3"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W58" s="407"/>
      <c r="AL58" s="3"/>
    </row>
    <row r="59" spans="2:47" x14ac:dyDescent="0.3">
      <c r="B59" t="s">
        <v>73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W59" s="407"/>
      <c r="AL59" s="3"/>
    </row>
    <row r="60" spans="2:47" x14ac:dyDescent="0.3">
      <c r="B60" s="1" t="s">
        <v>89</v>
      </c>
      <c r="G60" s="351">
        <v>-26496</v>
      </c>
      <c r="H60" s="351">
        <v>0</v>
      </c>
      <c r="I60" s="351">
        <v>0</v>
      </c>
      <c r="J60" s="351">
        <v>0</v>
      </c>
      <c r="K60" s="351">
        <v>0</v>
      </c>
      <c r="L60" s="351">
        <v>430</v>
      </c>
      <c r="M60" s="351">
        <v>0</v>
      </c>
      <c r="N60" s="351">
        <v>-95</v>
      </c>
      <c r="O60" s="351">
        <v>-182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W60" s="407"/>
      <c r="Z60" s="65">
        <f>-G52/G55</f>
        <v>0.91191462249123922</v>
      </c>
      <c r="AA60" s="65">
        <f t="shared" ref="AA60:AH60" si="49">-H52/H55</f>
        <v>1.4216404494382022</v>
      </c>
      <c r="AB60" s="65">
        <f t="shared" si="49"/>
        <v>1.5746528786382386</v>
      </c>
      <c r="AC60" s="65">
        <f t="shared" si="49"/>
        <v>1.3597785004834315</v>
      </c>
      <c r="AD60" s="65">
        <f t="shared" si="49"/>
        <v>1.311816192560175</v>
      </c>
      <c r="AE60" s="65">
        <f t="shared" si="49"/>
        <v>0.84059720112822733</v>
      </c>
      <c r="AF60" s="65">
        <f t="shared" si="49"/>
        <v>1.025388242946581</v>
      </c>
      <c r="AG60" s="65">
        <f t="shared" si="49"/>
        <v>1.7443102198598694</v>
      </c>
      <c r="AH60" s="65">
        <f t="shared" si="49"/>
        <v>1.4945110513008726</v>
      </c>
      <c r="AI60" s="65">
        <f t="shared" ref="AI60" si="50">-P52/P55</f>
        <v>1.2048200312989046</v>
      </c>
      <c r="AJ60" s="65">
        <f t="shared" ref="AJ60" si="51">-Q52/Q55</f>
        <v>1.1622362076523265</v>
      </c>
      <c r="AK60" s="65">
        <f t="shared" ref="AK60" si="52">-R52/R55</f>
        <v>1.8561964146531567</v>
      </c>
      <c r="AL60" s="65">
        <f t="shared" ref="AL60" si="53">-S52/S55</f>
        <v>1.4617640304545214</v>
      </c>
    </row>
    <row r="61" spans="2:47" x14ac:dyDescent="0.3">
      <c r="B61" s="1" t="s">
        <v>74</v>
      </c>
      <c r="G61" s="351">
        <v>22800</v>
      </c>
      <c r="H61" s="351">
        <v>11500</v>
      </c>
      <c r="I61" s="351">
        <v>0</v>
      </c>
      <c r="J61" s="351">
        <v>0</v>
      </c>
      <c r="K61" s="351">
        <v>19200</v>
      </c>
      <c r="L61" s="351">
        <v>14100</v>
      </c>
      <c r="M61" s="351">
        <v>30100</v>
      </c>
      <c r="N61" s="351">
        <v>23500</v>
      </c>
      <c r="O61" s="351">
        <v>17200</v>
      </c>
      <c r="P61" s="6">
        <f>P382</f>
        <v>47557</v>
      </c>
      <c r="Q61" s="6">
        <f t="shared" ref="Q61:T61" si="54">Q382</f>
        <v>11590</v>
      </c>
      <c r="R61" s="6">
        <f t="shared" si="54"/>
        <v>51513.75</v>
      </c>
      <c r="S61" s="6">
        <f t="shared" si="54"/>
        <v>11115</v>
      </c>
      <c r="T61" s="6">
        <f t="shared" si="54"/>
        <v>41230</v>
      </c>
      <c r="W61" s="407"/>
      <c r="AD61" s="330" t="s">
        <v>450</v>
      </c>
      <c r="AE61" s="327" t="s">
        <v>448</v>
      </c>
      <c r="AF61" s="327"/>
      <c r="AG61" s="327"/>
      <c r="AH61" s="326" t="s">
        <v>449</v>
      </c>
      <c r="AI61" s="327"/>
      <c r="AJ61" s="327"/>
      <c r="AK61" s="327"/>
      <c r="AL61" s="328"/>
      <c r="AM61" s="327"/>
      <c r="AN61" s="327"/>
      <c r="AO61" s="327"/>
      <c r="AP61" s="327"/>
      <c r="AQ61" s="327"/>
      <c r="AR61" s="327"/>
      <c r="AS61" s="329"/>
      <c r="AT61" t="s">
        <v>451</v>
      </c>
      <c r="AU61" t="s">
        <v>452</v>
      </c>
    </row>
    <row r="62" spans="2:47" x14ac:dyDescent="0.3">
      <c r="B62" s="1" t="s">
        <v>75</v>
      </c>
      <c r="G62" s="351">
        <v>0</v>
      </c>
      <c r="H62" s="351">
        <v>0</v>
      </c>
      <c r="I62" s="351">
        <v>-5250</v>
      </c>
      <c r="J62" s="351">
        <v>-1750</v>
      </c>
      <c r="K62" s="351">
        <v>-3000</v>
      </c>
      <c r="L62" s="351">
        <v>-10400</v>
      </c>
      <c r="M62" s="351">
        <v>-39160</v>
      </c>
      <c r="N62" s="351">
        <v>-1750</v>
      </c>
      <c r="O62" s="351">
        <v>-4800</v>
      </c>
      <c r="P62" s="6">
        <f>AA126+AA127</f>
        <v>-50060</v>
      </c>
      <c r="Q62" s="6">
        <f t="shared" ref="Q62:T62" si="55">AB126+AB127</f>
        <v>-12200</v>
      </c>
      <c r="R62" s="6">
        <f t="shared" si="55"/>
        <v>-54225</v>
      </c>
      <c r="S62" s="6">
        <f t="shared" si="55"/>
        <v>-11700</v>
      </c>
      <c r="T62" s="6">
        <f t="shared" si="55"/>
        <v>-43400</v>
      </c>
      <c r="W62" s="407"/>
      <c r="AD62" s="324">
        <v>46174</v>
      </c>
      <c r="AE62" s="318">
        <v>0</v>
      </c>
      <c r="AF62" s="6">
        <v>0</v>
      </c>
      <c r="AG62" s="319">
        <v>0</v>
      </c>
      <c r="AH62" s="331">
        <v>5200</v>
      </c>
      <c r="AI62" s="332">
        <v>5.0000000000000001E-3</v>
      </c>
      <c r="AJ62" s="317" t="s">
        <v>446</v>
      </c>
      <c r="AK62" s="331">
        <v>6900</v>
      </c>
      <c r="AL62" s="332">
        <v>5.1999999999999998E-3</v>
      </c>
      <c r="AM62" s="317" t="s">
        <v>446</v>
      </c>
      <c r="AN62" s="331">
        <v>3200</v>
      </c>
      <c r="AO62" s="332">
        <v>5.3499999999999997E-3</v>
      </c>
      <c r="AP62" s="317" t="s">
        <v>447</v>
      </c>
      <c r="AQ62" s="318">
        <v>0</v>
      </c>
      <c r="AR62" s="6">
        <v>0</v>
      </c>
      <c r="AS62" s="319">
        <v>0</v>
      </c>
      <c r="AT62" s="6">
        <f>AE62+AH62+AK62+AN62</f>
        <v>15300</v>
      </c>
      <c r="AU62" s="65">
        <f>((AH62/AT62)*AI62)+((AK62/AT62)*AL62)+((AN62/AT62)*AO62)+((AE62/AT62)*AF62)+((AQ62/AT62)*AR62)</f>
        <v>5.163398692810457E-3</v>
      </c>
    </row>
    <row r="63" spans="2:47" x14ac:dyDescent="0.3">
      <c r="B63" s="1" t="s">
        <v>76</v>
      </c>
      <c r="G63" s="351">
        <v>6378</v>
      </c>
      <c r="H63" s="351">
        <v>0</v>
      </c>
      <c r="I63" s="351">
        <v>17064</v>
      </c>
      <c r="J63" s="351">
        <v>7455</v>
      </c>
      <c r="K63" s="351">
        <v>5395</v>
      </c>
      <c r="L63" s="351">
        <v>0</v>
      </c>
      <c r="M63" s="351">
        <v>2232</v>
      </c>
      <c r="N63" s="351">
        <v>3031</v>
      </c>
      <c r="O63" s="351">
        <v>2020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t="s">
        <v>465</v>
      </c>
      <c r="W63" s="414" t="s">
        <v>510</v>
      </c>
      <c r="AD63" s="324">
        <v>46266</v>
      </c>
      <c r="AE63" s="318">
        <f>1100*31.59</f>
        <v>34749</v>
      </c>
      <c r="AF63" s="65">
        <v>2.5156249999999991E-2</v>
      </c>
      <c r="AG63" s="320" t="s">
        <v>447</v>
      </c>
      <c r="AH63" s="318">
        <v>8000</v>
      </c>
      <c r="AI63" s="65">
        <v>5.0000000000000001E-3</v>
      </c>
      <c r="AJ63" s="320" t="s">
        <v>446</v>
      </c>
      <c r="AK63" s="318">
        <v>1200</v>
      </c>
      <c r="AL63" s="65">
        <v>1.6E-2</v>
      </c>
      <c r="AM63" s="320" t="s">
        <v>446</v>
      </c>
      <c r="AN63" s="318">
        <v>3000</v>
      </c>
      <c r="AO63" s="65">
        <v>8.3999999999999995E-3</v>
      </c>
      <c r="AP63" s="320" t="s">
        <v>447</v>
      </c>
      <c r="AQ63" s="318">
        <v>0</v>
      </c>
      <c r="AR63" s="6">
        <v>0</v>
      </c>
      <c r="AS63" s="319">
        <v>0</v>
      </c>
      <c r="AT63" s="6">
        <f>AE63+AH63+AK63+AN63</f>
        <v>46949</v>
      </c>
      <c r="AU63" s="65">
        <f>((AH63/AT63)*AI63)+((AK63/AT63)*AL63)+((AN63/AT63)*AO63)+((AE63/AT63)*AF63)+((AQ63/AT63)*AR63)</f>
        <v>2.0416931803659284E-2</v>
      </c>
    </row>
    <row r="64" spans="2:47" x14ac:dyDescent="0.3">
      <c r="B64" s="1" t="s">
        <v>77</v>
      </c>
      <c r="G64" s="351">
        <v>-513</v>
      </c>
      <c r="H64" s="351">
        <v>-543</v>
      </c>
      <c r="I64" s="351">
        <v>-604</v>
      </c>
      <c r="J64" s="351">
        <v>-636</v>
      </c>
      <c r="K64" s="351">
        <v>-719</v>
      </c>
      <c r="L64" s="351">
        <v>-719</v>
      </c>
      <c r="M64" s="351">
        <v>-720</v>
      </c>
      <c r="N64" s="351">
        <v>-552</v>
      </c>
      <c r="O64" s="351">
        <v>-390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t="s">
        <v>465</v>
      </c>
      <c r="W64" s="407"/>
      <c r="AD64" s="324">
        <v>46357</v>
      </c>
      <c r="AE64" s="318">
        <f>1250*31.59</f>
        <v>39487.5</v>
      </c>
      <c r="AF64" s="65">
        <v>3.5306250000000095E-2</v>
      </c>
      <c r="AG64" s="320" t="s">
        <v>447</v>
      </c>
      <c r="AH64" s="318">
        <v>6900</v>
      </c>
      <c r="AI64" s="65">
        <v>5.4000000000000003E-3</v>
      </c>
      <c r="AJ64" s="320" t="s">
        <v>446</v>
      </c>
      <c r="AK64" s="318">
        <v>7700</v>
      </c>
      <c r="AL64" s="65">
        <v>6.4999999999999997E-3</v>
      </c>
      <c r="AM64" s="320" t="s">
        <v>446</v>
      </c>
      <c r="AN64" s="318">
        <v>0</v>
      </c>
      <c r="AO64" s="6">
        <v>0</v>
      </c>
      <c r="AP64" s="319">
        <v>0</v>
      </c>
      <c r="AQ64" s="318">
        <v>0</v>
      </c>
      <c r="AR64" s="6">
        <v>0</v>
      </c>
      <c r="AS64" s="319">
        <v>0</v>
      </c>
      <c r="AT64" s="6">
        <f>AE64+AH64+AK64+AN64</f>
        <v>54087.5</v>
      </c>
      <c r="AU64" s="65">
        <f t="shared" ref="AU64:AU66" si="56">((AH64/AT64)*AI64)+((AK64/AT64)*AL64)+((AN64/AT64)*AO64)+((AE64/AT64)*AF64)+((AQ64/AT64)*AR64)</f>
        <v>2.7390164952623135E-2</v>
      </c>
    </row>
    <row r="65" spans="1:47" x14ac:dyDescent="0.3">
      <c r="B65" s="1" t="s">
        <v>78</v>
      </c>
      <c r="G65" s="351">
        <v>-1779</v>
      </c>
      <c r="H65" s="351">
        <v>-6641</v>
      </c>
      <c r="I65" s="351">
        <v>-4385</v>
      </c>
      <c r="J65" s="351">
        <v>-5946</v>
      </c>
      <c r="K65" s="351">
        <v>-2516</v>
      </c>
      <c r="L65" s="351">
        <v>-7223</v>
      </c>
      <c r="M65" s="351">
        <v>-4040</v>
      </c>
      <c r="N65" s="351">
        <v>-5350</v>
      </c>
      <c r="O65" s="351">
        <v>-2747</v>
      </c>
      <c r="P65" s="6">
        <f>P423</f>
        <v>-5357.6053599999996</v>
      </c>
      <c r="Q65" s="6">
        <f t="shared" ref="Q65:T65" ca="1" si="57">Q423</f>
        <v>-5348.2663599999996</v>
      </c>
      <c r="R65" s="6">
        <f t="shared" ca="1" si="57"/>
        <v>-5338.3026099999997</v>
      </c>
      <c r="S65" s="6">
        <f t="shared" ca="1" si="57"/>
        <v>-5328.4138599999997</v>
      </c>
      <c r="T65" s="6">
        <f t="shared" ca="1" si="57"/>
        <v>-6172.6806099999994</v>
      </c>
      <c r="W65" s="407"/>
      <c r="AD65" s="324">
        <v>46447</v>
      </c>
      <c r="AE65" s="318">
        <v>0</v>
      </c>
      <c r="AF65" s="6">
        <v>0</v>
      </c>
      <c r="AG65" s="319">
        <v>0</v>
      </c>
      <c r="AH65" s="318">
        <v>10500</v>
      </c>
      <c r="AI65" s="65">
        <v>6.1999999999999998E-3</v>
      </c>
      <c r="AJ65" s="320" t="s">
        <v>446</v>
      </c>
      <c r="AK65" s="318">
        <v>2100</v>
      </c>
      <c r="AL65" s="65">
        <v>6.3E-3</v>
      </c>
      <c r="AM65" s="320" t="s">
        <v>446</v>
      </c>
      <c r="AN65" s="318">
        <v>9600</v>
      </c>
      <c r="AO65" s="65">
        <v>8.5000000000000006E-3</v>
      </c>
      <c r="AP65" s="320" t="s">
        <v>447</v>
      </c>
      <c r="AQ65" s="318">
        <v>0</v>
      </c>
      <c r="AR65" s="6">
        <v>0</v>
      </c>
      <c r="AS65" s="319">
        <v>0</v>
      </c>
      <c r="AT65" s="6">
        <f>AE65+AH65+AK65+AN65</f>
        <v>22200</v>
      </c>
      <c r="AU65" s="65">
        <f t="shared" si="56"/>
        <v>7.2040540540540543E-3</v>
      </c>
    </row>
    <row r="66" spans="1:47" x14ac:dyDescent="0.3">
      <c r="B66" s="1" t="s">
        <v>79</v>
      </c>
      <c r="G66" s="351">
        <v>-77796</v>
      </c>
      <c r="H66" s="351">
        <v>-90762</v>
      </c>
      <c r="I66" s="351">
        <v>-90763</v>
      </c>
      <c r="J66" s="351">
        <v>-103734</v>
      </c>
      <c r="K66" s="351">
        <v>-103722</v>
      </c>
      <c r="L66" s="351">
        <v>-116697</v>
      </c>
      <c r="M66" s="351">
        <v>-116697</v>
      </c>
      <c r="N66" s="351">
        <v>-129663</v>
      </c>
      <c r="O66" s="351">
        <v>-129663</v>
      </c>
      <c r="P66" s="6">
        <f ca="1">P438*-1</f>
        <v>-146026.49687195205</v>
      </c>
      <c r="Q66" s="6">
        <f t="shared" ref="Q66:T66" ca="1" si="58">Q438*-1</f>
        <v>-161420.29013984953</v>
      </c>
      <c r="R66" s="6">
        <f t="shared" ca="1" si="58"/>
        <v>-178680.92631627369</v>
      </c>
      <c r="S66" s="6">
        <f t="shared" ca="1" si="58"/>
        <v>-198235.0179554403</v>
      </c>
      <c r="T66" s="6">
        <f t="shared" ca="1" si="58"/>
        <v>-220285.31602868668</v>
      </c>
      <c r="W66" s="407"/>
      <c r="Y66" s="65"/>
      <c r="Z66" s="65"/>
      <c r="AA66" s="65"/>
      <c r="AB66" s="65"/>
      <c r="AC66" s="65"/>
      <c r="AD66" s="325">
        <v>46539</v>
      </c>
      <c r="AE66" s="321">
        <f>1000*31.59</f>
        <v>31590</v>
      </c>
      <c r="AF66" s="322">
        <v>7.9001562500000233E-2</v>
      </c>
      <c r="AG66" s="323" t="s">
        <v>447</v>
      </c>
      <c r="AH66" s="321">
        <v>10400</v>
      </c>
      <c r="AI66" s="322">
        <v>5.7999999999999996E-3</v>
      </c>
      <c r="AJ66" s="323" t="s">
        <v>446</v>
      </c>
      <c r="AK66" s="321">
        <v>7500</v>
      </c>
      <c r="AL66" s="322">
        <v>6.0000000000000001E-3</v>
      </c>
      <c r="AM66" s="323" t="s">
        <v>446</v>
      </c>
      <c r="AN66" s="321">
        <v>2000</v>
      </c>
      <c r="AO66" s="322">
        <v>1.6500000000000001E-2</v>
      </c>
      <c r="AP66" s="323" t="s">
        <v>447</v>
      </c>
      <c r="AQ66" s="334">
        <v>6100</v>
      </c>
      <c r="AR66" s="322">
        <v>1.4999999999999999E-2</v>
      </c>
      <c r="AS66" s="323" t="s">
        <v>446</v>
      </c>
      <c r="AT66" s="6">
        <f>AE66+AH66+AK66+AN66</f>
        <v>51490</v>
      </c>
      <c r="AU66" s="65">
        <f t="shared" si="56"/>
        <v>5.2932207406778155E-2</v>
      </c>
    </row>
    <row r="67" spans="1:47" x14ac:dyDescent="0.3">
      <c r="B67" s="1" t="s">
        <v>88</v>
      </c>
      <c r="G67" s="351">
        <v>0</v>
      </c>
      <c r="H67" s="351">
        <v>-3089</v>
      </c>
      <c r="I67" s="351">
        <v>0</v>
      </c>
      <c r="J67" s="351">
        <v>0</v>
      </c>
      <c r="K67" s="351">
        <v>0</v>
      </c>
      <c r="L67" s="351">
        <v>0</v>
      </c>
      <c r="M67" s="351">
        <v>0</v>
      </c>
      <c r="N67" s="351">
        <v>0</v>
      </c>
      <c r="O67" s="351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W67" s="407"/>
      <c r="AL67" s="3"/>
      <c r="AT67" s="6">
        <f>SUM(AT62:AT66)</f>
        <v>190026.5</v>
      </c>
    </row>
    <row r="68" spans="1:47" x14ac:dyDescent="0.3">
      <c r="B68" s="1" t="s">
        <v>80</v>
      </c>
      <c r="G68" s="351">
        <v>5721</v>
      </c>
      <c r="H68" s="351">
        <v>-710</v>
      </c>
      <c r="I68" s="351">
        <v>299</v>
      </c>
      <c r="J68" s="351">
        <v>3879</v>
      </c>
      <c r="K68" s="351">
        <v>696</v>
      </c>
      <c r="L68" s="351">
        <v>809</v>
      </c>
      <c r="M68" s="351">
        <v>-9</v>
      </c>
      <c r="N68" s="351">
        <v>3194</v>
      </c>
      <c r="O68" s="351">
        <v>-1348</v>
      </c>
      <c r="P68" s="6">
        <v>-1348</v>
      </c>
      <c r="Q68" s="6">
        <v>-1348</v>
      </c>
      <c r="R68" s="6">
        <v>-1348</v>
      </c>
      <c r="S68" s="6">
        <v>-1348</v>
      </c>
      <c r="T68" s="6">
        <v>-1348</v>
      </c>
      <c r="U68" t="s">
        <v>465</v>
      </c>
      <c r="W68" s="414" t="s">
        <v>511</v>
      </c>
      <c r="AE68" s="331">
        <v>1100</v>
      </c>
      <c r="AF68" s="332">
        <v>1.2500000000000001E-2</v>
      </c>
      <c r="AG68" s="317" t="s">
        <v>445</v>
      </c>
      <c r="AH68" s="10">
        <f>AE68</f>
        <v>1100</v>
      </c>
      <c r="AI68" s="332">
        <f>((1+AF68)^2)-1</f>
        <v>2.5156249999999991E-2</v>
      </c>
      <c r="AJ68" s="317" t="s">
        <v>447</v>
      </c>
      <c r="AL68" s="3"/>
      <c r="AT68" s="65">
        <f>((AT62/AT67)*AU62)+((AT63/AT67)*AU63)+((AT64/AT67)*AU64)+((AT65/AT67)*AU65)+((AT66/AT67)*AU66)</f>
        <v>2.8440398773329038E-2</v>
      </c>
      <c r="AU68" s="65">
        <f>AT68/4</f>
        <v>7.1100996933322596E-3</v>
      </c>
    </row>
    <row r="69" spans="1:47" x14ac:dyDescent="0.3">
      <c r="B69" s="3" t="s">
        <v>81</v>
      </c>
      <c r="G69" s="352">
        <v>-71685</v>
      </c>
      <c r="H69" s="352">
        <v>-90245</v>
      </c>
      <c r="I69" s="352">
        <v>-83639</v>
      </c>
      <c r="J69" s="352">
        <v>-100732</v>
      </c>
      <c r="K69" s="352">
        <v>-84666</v>
      </c>
      <c r="L69" s="352">
        <v>-119700</v>
      </c>
      <c r="M69" s="352">
        <v>-128294</v>
      </c>
      <c r="N69" s="352">
        <v>-107685</v>
      </c>
      <c r="O69" s="352">
        <v>-119910</v>
      </c>
      <c r="P69" s="9">
        <f ca="1">SUM(P60:P68)</f>
        <v>-155235.10223195204</v>
      </c>
      <c r="Q69" s="9">
        <f t="shared" ref="Q69:T69" ca="1" si="59">SUM(Q60:Q68)</f>
        <v>-168726.55649984954</v>
      </c>
      <c r="R69" s="9">
        <f t="shared" ca="1" si="59"/>
        <v>-188078.4789262737</v>
      </c>
      <c r="S69" s="9">
        <f t="shared" ca="1" si="59"/>
        <v>-205496.4318154403</v>
      </c>
      <c r="T69" s="9">
        <f t="shared" ca="1" si="59"/>
        <v>-229975.99663868669</v>
      </c>
      <c r="W69" s="407"/>
      <c r="AE69" s="318">
        <v>1250</v>
      </c>
      <c r="AF69" s="65">
        <v>1.7500000000000002E-2</v>
      </c>
      <c r="AG69" s="320" t="s">
        <v>445</v>
      </c>
      <c r="AH69">
        <f t="shared" ref="AH69:AH71" si="60">AE69</f>
        <v>1250</v>
      </c>
      <c r="AI69" s="65">
        <f t="shared" ref="AI69:AI71" si="61">((1+AF69)^2)-1</f>
        <v>3.5306250000000095E-2</v>
      </c>
      <c r="AJ69" s="320" t="s">
        <v>447</v>
      </c>
      <c r="AL69" s="3"/>
      <c r="AT69" s="65">
        <f>((AT63/$AT$67)*AU63)+((AT64/$AT$67)*AU64)+((AT65/$AT$67)*AU65)+((AT66/$AT$67)*AU66)</f>
        <v>2.8024667283247394E-2</v>
      </c>
      <c r="AU69" s="65">
        <f>AT69/4</f>
        <v>7.0061668208118485E-3</v>
      </c>
    </row>
    <row r="70" spans="1:47" x14ac:dyDescent="0.3"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W70" s="407"/>
      <c r="AE70" s="318">
        <v>0</v>
      </c>
      <c r="AF70" s="6">
        <v>0</v>
      </c>
      <c r="AG70" s="319">
        <v>0</v>
      </c>
      <c r="AH70" s="318">
        <v>0</v>
      </c>
      <c r="AI70" s="6">
        <v>0</v>
      </c>
      <c r="AJ70" s="319">
        <v>0</v>
      </c>
      <c r="AL70" s="3"/>
      <c r="AT70" s="65">
        <f>((AT64/$AT$67)*AU64)+((AT65/$AT$67)*AU65)+((AT66/$AT$67)*AU66)+((AT67/$AT$67)*AU67)</f>
        <v>2.2980346984499588E-2</v>
      </c>
      <c r="AU70" s="65">
        <f t="shared" ref="AU70:AU72" si="62">AT70/4</f>
        <v>5.7450867461248971E-3</v>
      </c>
    </row>
    <row r="71" spans="1:47" x14ac:dyDescent="0.3">
      <c r="B71" t="s">
        <v>82</v>
      </c>
      <c r="G71" s="351">
        <v>27949</v>
      </c>
      <c r="H71" s="351">
        <v>11116</v>
      </c>
      <c r="I71" s="351">
        <v>-25191</v>
      </c>
      <c r="J71" s="351">
        <v>33292</v>
      </c>
      <c r="K71" s="351">
        <v>16461</v>
      </c>
      <c r="L71" s="351">
        <v>-179155</v>
      </c>
      <c r="M71" s="351">
        <v>67452</v>
      </c>
      <c r="N71" s="351">
        <v>45234</v>
      </c>
      <c r="O71" s="351">
        <v>45569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t="s">
        <v>465</v>
      </c>
      <c r="V71" s="6">
        <f>MEDIAN(G71:O71)</f>
        <v>27949</v>
      </c>
      <c r="W71" s="407"/>
      <c r="AE71" s="321">
        <v>1000</v>
      </c>
      <c r="AF71" s="322">
        <v>3.875E-2</v>
      </c>
      <c r="AG71" s="323" t="s">
        <v>445</v>
      </c>
      <c r="AH71" s="333">
        <f t="shared" si="60"/>
        <v>1000</v>
      </c>
      <c r="AI71" s="322">
        <f t="shared" si="61"/>
        <v>7.9001562500000233E-2</v>
      </c>
      <c r="AJ71" s="323" t="s">
        <v>447</v>
      </c>
      <c r="AL71" s="3"/>
      <c r="AT71" s="65">
        <f>((AT65/$AT$67)*AU65)+((AT66/$AT$67)*AU66)+((AT67/$AT$67)*AU67)+((AT68/$AT$67)*AU68)</f>
        <v>1.5184248310572883E-2</v>
      </c>
      <c r="AU71" s="65">
        <f t="shared" si="62"/>
        <v>3.7960620776432206E-3</v>
      </c>
    </row>
    <row r="72" spans="1:47" x14ac:dyDescent="0.3"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V72" s="72">
        <f>V71/O71</f>
        <v>0.61333362592990848</v>
      </c>
      <c r="W72" s="407"/>
      <c r="AL72" s="3"/>
      <c r="AT72" s="65">
        <f>((AT66/$AT$67)*AU66)+((AT67/$AT$67)*AU67)+((AT68/$AT$67)*AU68)+((AT69/$AT$67)*AU69)</f>
        <v>1.4342629885487403E-2</v>
      </c>
      <c r="AU72" s="65">
        <f t="shared" si="62"/>
        <v>3.5856574713718507E-3</v>
      </c>
    </row>
    <row r="73" spans="1:47" x14ac:dyDescent="0.3">
      <c r="B73" s="3" t="s">
        <v>83</v>
      </c>
      <c r="G73" s="354">
        <v>232768</v>
      </c>
      <c r="H73" s="354">
        <v>100931</v>
      </c>
      <c r="I73" s="354">
        <v>87654</v>
      </c>
      <c r="J73" s="354">
        <v>240846</v>
      </c>
      <c r="K73" s="354">
        <v>267177</v>
      </c>
      <c r="L73" s="354">
        <v>-30280</v>
      </c>
      <c r="M73" s="354">
        <v>106235</v>
      </c>
      <c r="N73" s="354">
        <v>297097</v>
      </c>
      <c r="O73" s="354">
        <v>267781</v>
      </c>
      <c r="P73" s="8">
        <f ca="1">P45+P57+P69+P71</f>
        <v>354180.45861807792</v>
      </c>
      <c r="Q73" s="8">
        <f t="shared" ref="Q73:T73" ca="1" si="63">Q45+Q57+Q69+Q71</f>
        <v>400459.1288404332</v>
      </c>
      <c r="R73" s="8">
        <f t="shared" ca="1" si="63"/>
        <v>377226.33035989356</v>
      </c>
      <c r="S73" s="8">
        <f t="shared" ca="1" si="63"/>
        <v>457496.16069032939</v>
      </c>
      <c r="T73" s="8">
        <f t="shared" ca="1" si="63"/>
        <v>533951.50429090881</v>
      </c>
      <c r="W73" s="407"/>
      <c r="AL73" s="3"/>
    </row>
    <row r="74" spans="1:47" x14ac:dyDescent="0.3"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W74" s="407"/>
      <c r="AL74" s="3"/>
    </row>
    <row r="75" spans="1:47" x14ac:dyDescent="0.3">
      <c r="B75" t="s">
        <v>84</v>
      </c>
      <c r="G75" s="351">
        <v>1465428</v>
      </c>
      <c r="H75" s="351">
        <v>1698196</v>
      </c>
      <c r="I75" s="351">
        <v>1799127</v>
      </c>
      <c r="J75" s="351">
        <v>1886781</v>
      </c>
      <c r="K75" s="351">
        <v>2127627</v>
      </c>
      <c r="L75" s="351">
        <v>2394804</v>
      </c>
      <c r="M75" s="351">
        <v>2364524</v>
      </c>
      <c r="N75" s="351">
        <v>2470759</v>
      </c>
      <c r="O75" s="351">
        <v>2767856</v>
      </c>
      <c r="P75" s="6">
        <f>O76</f>
        <v>3035637</v>
      </c>
      <c r="Q75" s="6">
        <f t="shared" ref="Q75:T75" ca="1" si="64">P76</f>
        <v>3389817.4586180779</v>
      </c>
      <c r="R75" s="6">
        <f t="shared" ca="1" si="64"/>
        <v>3790276.5874585109</v>
      </c>
      <c r="S75" s="6">
        <f t="shared" ca="1" si="64"/>
        <v>4167502.9178184043</v>
      </c>
      <c r="T75" s="6">
        <f t="shared" ca="1" si="64"/>
        <v>4624999.0785087338</v>
      </c>
      <c r="W75" s="407"/>
      <c r="AL75" s="3"/>
    </row>
    <row r="76" spans="1:47" x14ac:dyDescent="0.3">
      <c r="B76" s="3" t="s">
        <v>85</v>
      </c>
      <c r="G76" s="352">
        <v>1698196</v>
      </c>
      <c r="H76" s="352">
        <v>1799127</v>
      </c>
      <c r="I76" s="352">
        <v>1886781</v>
      </c>
      <c r="J76" s="352">
        <v>2127627</v>
      </c>
      <c r="K76" s="352">
        <v>2394804</v>
      </c>
      <c r="L76" s="352">
        <v>2364524</v>
      </c>
      <c r="M76" s="352">
        <v>2470759</v>
      </c>
      <c r="N76" s="352">
        <v>2767856</v>
      </c>
      <c r="O76" s="352">
        <v>3035637</v>
      </c>
      <c r="P76" s="9">
        <f ca="1">P73+P75</f>
        <v>3389817.4586180779</v>
      </c>
      <c r="Q76" s="9">
        <f t="shared" ref="Q76:T76" ca="1" si="65">Q73+Q75</f>
        <v>3790276.5874585109</v>
      </c>
      <c r="R76" s="9">
        <f t="shared" ca="1" si="65"/>
        <v>4167502.9178184043</v>
      </c>
      <c r="S76" s="9">
        <f t="shared" ca="1" si="65"/>
        <v>4624999.0785087338</v>
      </c>
      <c r="T76" s="9">
        <f t="shared" ca="1" si="65"/>
        <v>5158950.5827996423</v>
      </c>
      <c r="W76" s="407"/>
      <c r="AL76" s="3"/>
    </row>
    <row r="77" spans="1:47" x14ac:dyDescent="0.3">
      <c r="W77" s="407"/>
      <c r="X77" s="251"/>
      <c r="Y77" s="251"/>
      <c r="Z77" s="250"/>
      <c r="AA77" s="250"/>
      <c r="AB77" s="250"/>
      <c r="AL77" s="3"/>
    </row>
    <row r="78" spans="1:47" x14ac:dyDescent="0.3">
      <c r="W78" s="407"/>
      <c r="AL78" s="3"/>
    </row>
    <row r="79" spans="1:47" x14ac:dyDescent="0.3">
      <c r="A79" t="s">
        <v>90</v>
      </c>
      <c r="B79" s="369" t="s">
        <v>0</v>
      </c>
      <c r="C79" s="368"/>
      <c r="D79" s="368"/>
      <c r="E79" s="368"/>
      <c r="F79" s="368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W79" s="407"/>
      <c r="AL79" s="3"/>
    </row>
    <row r="80" spans="1:47" x14ac:dyDescent="0.3">
      <c r="B80" s="4" t="s">
        <v>8</v>
      </c>
      <c r="G80" s="74">
        <f>G2</f>
        <v>45382</v>
      </c>
      <c r="H80" s="74">
        <f t="shared" ref="H80:O80" si="66">H2</f>
        <v>45473</v>
      </c>
      <c r="I80" s="74">
        <f t="shared" si="66"/>
        <v>45565</v>
      </c>
      <c r="J80" s="74">
        <f t="shared" si="66"/>
        <v>45656</v>
      </c>
      <c r="K80" s="74">
        <f t="shared" si="66"/>
        <v>45746</v>
      </c>
      <c r="L80" s="74">
        <f t="shared" si="66"/>
        <v>45838</v>
      </c>
      <c r="M80" s="74">
        <f t="shared" si="66"/>
        <v>45930</v>
      </c>
      <c r="N80" s="74">
        <f t="shared" si="66"/>
        <v>46021</v>
      </c>
      <c r="O80" s="74">
        <f t="shared" si="66"/>
        <v>46111</v>
      </c>
      <c r="P80" s="74">
        <f t="shared" ref="P80:U80" si="67">P2</f>
        <v>46203</v>
      </c>
      <c r="Q80" s="74">
        <f t="shared" si="67"/>
        <v>46295</v>
      </c>
      <c r="R80" s="74">
        <f t="shared" si="67"/>
        <v>46386</v>
      </c>
      <c r="S80" s="74">
        <f t="shared" si="67"/>
        <v>46476</v>
      </c>
      <c r="T80" s="74">
        <f t="shared" si="67"/>
        <v>46568</v>
      </c>
      <c r="U80" s="345" t="str">
        <f t="shared" si="67"/>
        <v>Term</v>
      </c>
      <c r="V80" s="170"/>
      <c r="W80" s="407"/>
      <c r="AL80" s="3"/>
    </row>
    <row r="81" spans="2:38" x14ac:dyDescent="0.3">
      <c r="W81" s="407"/>
      <c r="AL81" s="3"/>
    </row>
    <row r="82" spans="2:38" x14ac:dyDescent="0.3">
      <c r="B82" t="s">
        <v>1</v>
      </c>
      <c r="W82" s="407"/>
      <c r="AL82" s="3"/>
    </row>
    <row r="83" spans="2:38" x14ac:dyDescent="0.3">
      <c r="B83" s="1" t="s">
        <v>2</v>
      </c>
      <c r="G83" s="351">
        <v>1698196</v>
      </c>
      <c r="H83" s="351">
        <v>1799127</v>
      </c>
      <c r="I83" s="351">
        <v>1886781</v>
      </c>
      <c r="J83" s="351">
        <v>2127627</v>
      </c>
      <c r="K83" s="351">
        <v>2394804</v>
      </c>
      <c r="L83" s="351">
        <v>2364524</v>
      </c>
      <c r="M83" s="351">
        <v>2470759</v>
      </c>
      <c r="N83" s="351">
        <v>2767856</v>
      </c>
      <c r="O83" s="351">
        <v>3035637</v>
      </c>
      <c r="P83" s="6">
        <f ca="1">P76</f>
        <v>3389817.4586180779</v>
      </c>
      <c r="Q83" s="6">
        <f t="shared" ref="Q83:T83" ca="1" si="68">Q76</f>
        <v>3790276.5874585109</v>
      </c>
      <c r="R83" s="6">
        <f t="shared" ca="1" si="68"/>
        <v>4167502.9178184043</v>
      </c>
      <c r="S83" s="6">
        <f t="shared" ca="1" si="68"/>
        <v>4624999.0785087338</v>
      </c>
      <c r="T83" s="6">
        <f t="shared" ca="1" si="68"/>
        <v>5158950.5827996423</v>
      </c>
      <c r="W83" s="407"/>
      <c r="AL83" s="3"/>
    </row>
    <row r="84" spans="2:38" x14ac:dyDescent="0.3">
      <c r="B84" s="1" t="s">
        <v>3</v>
      </c>
      <c r="G84" s="351">
        <v>224460</v>
      </c>
      <c r="H84" s="351">
        <v>249508</v>
      </c>
      <c r="I84" s="351">
        <v>280819</v>
      </c>
      <c r="J84" s="351">
        <v>294392</v>
      </c>
      <c r="K84" s="351">
        <v>308281</v>
      </c>
      <c r="L84" s="351">
        <v>269905</v>
      </c>
      <c r="M84" s="351">
        <v>280297</v>
      </c>
      <c r="N84" s="351">
        <v>300738</v>
      </c>
      <c r="O84" s="351">
        <v>347964</v>
      </c>
      <c r="P84" s="6">
        <f ca="1">AH84</f>
        <v>372879.92044798855</v>
      </c>
      <c r="Q84" s="6">
        <f ca="1">AI84</f>
        <v>407454.73315178993</v>
      </c>
      <c r="R84" s="6">
        <f ca="1">AJ84</f>
        <v>427169.04907638644</v>
      </c>
      <c r="S84" s="6">
        <f ca="1">AK84</f>
        <v>462499.90785087342</v>
      </c>
      <c r="T84" s="6">
        <f ca="1">AL84</f>
        <v>502997.68182296515</v>
      </c>
      <c r="W84" s="414" t="s">
        <v>404</v>
      </c>
      <c r="Y84" s="65">
        <f t="shared" ref="Y84:AG84" si="69">G84/G83</f>
        <v>0.13217555570735062</v>
      </c>
      <c r="Z84" s="65">
        <f t="shared" si="69"/>
        <v>0.13868281672166557</v>
      </c>
      <c r="AA84" s="65">
        <f t="shared" si="69"/>
        <v>0.14883497342828872</v>
      </c>
      <c r="AB84" s="65">
        <f t="shared" si="69"/>
        <v>0.13836635838894693</v>
      </c>
      <c r="AC84" s="65">
        <f t="shared" si="69"/>
        <v>0.12872911520107699</v>
      </c>
      <c r="AD84" s="65">
        <f t="shared" si="69"/>
        <v>0.11414771006764998</v>
      </c>
      <c r="AE84" s="65">
        <f t="shared" si="69"/>
        <v>0.11344570635986756</v>
      </c>
      <c r="AF84" s="65">
        <f t="shared" si="69"/>
        <v>0.1086537738957518</v>
      </c>
      <c r="AG84" s="65">
        <f t="shared" si="69"/>
        <v>0.1146263535462244</v>
      </c>
      <c r="AH84" s="7">
        <f ca="1">AH85*P83</f>
        <v>372879.92044798855</v>
      </c>
      <c r="AI84" s="7">
        <f ca="1">AI85*Q83</f>
        <v>407454.73315178993</v>
      </c>
      <c r="AJ84" s="7">
        <f ca="1">AJ85*R83</f>
        <v>427169.04907638644</v>
      </c>
      <c r="AK84" s="7">
        <f ca="1">AK85*S83</f>
        <v>462499.90785087342</v>
      </c>
      <c r="AL84" s="7">
        <f ca="1">AL85*T83</f>
        <v>502997.68182296515</v>
      </c>
    </row>
    <row r="85" spans="2:38" x14ac:dyDescent="0.3">
      <c r="B85" s="1" t="s">
        <v>4</v>
      </c>
      <c r="G85" s="351">
        <v>201980</v>
      </c>
      <c r="H85" s="351">
        <v>210210</v>
      </c>
      <c r="I85" s="351">
        <v>249974</v>
      </c>
      <c r="J85" s="351">
        <v>272088</v>
      </c>
      <c r="K85" s="351">
        <v>243949</v>
      </c>
      <c r="L85" s="351">
        <v>235685</v>
      </c>
      <c r="M85" s="351">
        <v>307814</v>
      </c>
      <c r="N85" s="351">
        <v>281791</v>
      </c>
      <c r="O85" s="351">
        <v>363005</v>
      </c>
      <c r="P85" s="6">
        <f>P196</f>
        <v>383337.83144082886</v>
      </c>
      <c r="Q85" s="6">
        <f t="shared" ref="Q85:T85" si="70">Q196</f>
        <v>432022.60521744139</v>
      </c>
      <c r="R85" s="6">
        <f t="shared" si="70"/>
        <v>481190.55807467597</v>
      </c>
      <c r="S85" s="6">
        <f t="shared" si="70"/>
        <v>533131.6666549627</v>
      </c>
      <c r="T85" s="6">
        <f t="shared" si="70"/>
        <v>578434.38502483664</v>
      </c>
      <c r="W85" s="414" t="s">
        <v>405</v>
      </c>
      <c r="AH85" s="65">
        <v>0.11</v>
      </c>
      <c r="AI85" s="65">
        <v>0.1075</v>
      </c>
      <c r="AJ85" s="65">
        <v>0.10249999999999999</v>
      </c>
      <c r="AK85" s="65">
        <v>0.1</v>
      </c>
      <c r="AL85" s="65">
        <v>9.7500000000000003E-2</v>
      </c>
    </row>
    <row r="86" spans="2:38" x14ac:dyDescent="0.3">
      <c r="B86" s="1" t="s">
        <v>5</v>
      </c>
      <c r="G86" s="351">
        <v>267123</v>
      </c>
      <c r="H86" s="351">
        <v>272491</v>
      </c>
      <c r="I86" s="351">
        <v>292884</v>
      </c>
      <c r="J86" s="351">
        <v>287869</v>
      </c>
      <c r="K86" s="351">
        <v>293388</v>
      </c>
      <c r="L86" s="351">
        <v>304194</v>
      </c>
      <c r="M86" s="351">
        <v>288689</v>
      </c>
      <c r="N86" s="351">
        <v>288110</v>
      </c>
      <c r="O86" s="351">
        <v>311454</v>
      </c>
      <c r="P86" s="6">
        <f>P197</f>
        <v>328432.31991985708</v>
      </c>
      <c r="Q86" s="6">
        <f t="shared" ref="Q86:T86" si="71">Q197</f>
        <v>362241.56267905899</v>
      </c>
      <c r="R86" s="6">
        <f t="shared" si="71"/>
        <v>406732.65066733141</v>
      </c>
      <c r="S86" s="6">
        <f t="shared" si="71"/>
        <v>455208.76144833997</v>
      </c>
      <c r="T86" s="6">
        <f t="shared" si="71"/>
        <v>487760.88683175418</v>
      </c>
      <c r="W86" s="407"/>
    </row>
    <row r="87" spans="2:38" x14ac:dyDescent="0.3">
      <c r="B87" s="1" t="s">
        <v>6</v>
      </c>
      <c r="G87" s="351">
        <v>61008</v>
      </c>
      <c r="H87" s="351">
        <v>60332</v>
      </c>
      <c r="I87" s="351">
        <v>63456</v>
      </c>
      <c r="J87" s="351">
        <v>106376</v>
      </c>
      <c r="K87" s="351">
        <v>105242</v>
      </c>
      <c r="L87" s="351">
        <v>90610</v>
      </c>
      <c r="M87" s="351">
        <v>88456</v>
      </c>
      <c r="N87" s="351">
        <v>178636</v>
      </c>
      <c r="O87" s="351">
        <v>207452</v>
      </c>
      <c r="P87" s="6">
        <f>AH87</f>
        <v>212226.67907025007</v>
      </c>
      <c r="Q87" s="6">
        <f>AI87</f>
        <v>238476.47808002762</v>
      </c>
      <c r="R87" s="6">
        <f>AJ87</f>
        <v>268875.77674874436</v>
      </c>
      <c r="S87" s="6">
        <f>AK87</f>
        <v>304170.65624332242</v>
      </c>
      <c r="T87" s="6">
        <f>AL87</f>
        <v>345184.62760401063</v>
      </c>
      <c r="W87" s="414" t="s">
        <v>403</v>
      </c>
      <c r="Y87" s="65">
        <f t="shared" ref="Y87:AG87" si="72">G87/G4</f>
        <v>0.10294206977544698</v>
      </c>
      <c r="Z87" s="65">
        <f t="shared" si="72"/>
        <v>8.9578476934269721E-2</v>
      </c>
      <c r="AA87" s="65">
        <f t="shared" si="72"/>
        <v>8.3528587901412682E-2</v>
      </c>
      <c r="AB87" s="65">
        <f t="shared" si="72"/>
        <v>0.12248794131227539</v>
      </c>
      <c r="AC87" s="65">
        <f t="shared" si="72"/>
        <v>0.12539946190307105</v>
      </c>
      <c r="AD87" s="65">
        <f t="shared" si="72"/>
        <v>9.7034457352386833E-2</v>
      </c>
      <c r="AE87" s="65">
        <f t="shared" si="72"/>
        <v>8.9356896227768365E-2</v>
      </c>
      <c r="AF87" s="65">
        <f t="shared" si="72"/>
        <v>0.17076542171323691</v>
      </c>
      <c r="AG87" s="65">
        <f t="shared" si="72"/>
        <v>0.18292165702762447</v>
      </c>
      <c r="AH87" s="7">
        <f>AH88*P4</f>
        <v>212226.67907025007</v>
      </c>
      <c r="AI87" s="7">
        <f>AI88*Q4</f>
        <v>238476.47808002762</v>
      </c>
      <c r="AJ87" s="7">
        <f>AJ88*R4</f>
        <v>268875.77674874436</v>
      </c>
      <c r="AK87" s="7">
        <f>AK88*S4</f>
        <v>304170.65624332242</v>
      </c>
      <c r="AL87" s="7">
        <f>AL88*T4</f>
        <v>345184.62760401063</v>
      </c>
    </row>
    <row r="88" spans="2:38" x14ac:dyDescent="0.3">
      <c r="B88" s="3" t="s">
        <v>7</v>
      </c>
      <c r="G88" s="352">
        <v>2452767</v>
      </c>
      <c r="H88" s="352">
        <v>2591658</v>
      </c>
      <c r="I88" s="352">
        <v>2773914</v>
      </c>
      <c r="J88" s="352">
        <v>3088352</v>
      </c>
      <c r="K88" s="352">
        <v>3345664</v>
      </c>
      <c r="L88" s="352">
        <v>3264918</v>
      </c>
      <c r="M88" s="352">
        <v>3436015</v>
      </c>
      <c r="N88" s="352">
        <v>3817131</v>
      </c>
      <c r="O88" s="352">
        <v>4265512</v>
      </c>
      <c r="P88" s="9">
        <f ca="1">SUM(P83:P87)</f>
        <v>4686694.209497002</v>
      </c>
      <c r="Q88" s="9">
        <f t="shared" ref="Q88:T88" ca="1" si="73">SUM(Q83:Q87)</f>
        <v>5230471.9665868282</v>
      </c>
      <c r="R88" s="9">
        <f t="shared" ca="1" si="73"/>
        <v>5751470.952385542</v>
      </c>
      <c r="S88" s="9">
        <f t="shared" ca="1" si="73"/>
        <v>6380010.0707062325</v>
      </c>
      <c r="T88" s="9">
        <f t="shared" ca="1" si="73"/>
        <v>7073328.164083208</v>
      </c>
      <c r="W88" s="407"/>
      <c r="AH88" s="65">
        <v>0.17</v>
      </c>
      <c r="AI88" s="65">
        <v>0.17249999999999999</v>
      </c>
      <c r="AJ88" s="65">
        <v>0.17499999999999999</v>
      </c>
      <c r="AK88" s="65">
        <v>0.17749999999999999</v>
      </c>
      <c r="AL88" s="65">
        <v>0.18</v>
      </c>
    </row>
    <row r="89" spans="2:38" x14ac:dyDescent="0.3"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W89" s="407"/>
      <c r="AG89" s="71"/>
    </row>
    <row r="90" spans="2:38" x14ac:dyDescent="0.3">
      <c r="B90" t="s">
        <v>9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W90" s="407"/>
    </row>
    <row r="91" spans="2:38" x14ac:dyDescent="0.3">
      <c r="B91" s="1" t="s">
        <v>10</v>
      </c>
      <c r="G91" s="351">
        <v>138469</v>
      </c>
      <c r="H91" s="351">
        <v>140220</v>
      </c>
      <c r="I91" s="351">
        <v>127332</v>
      </c>
      <c r="J91" s="351">
        <v>149040</v>
      </c>
      <c r="K91" s="351">
        <v>160793</v>
      </c>
      <c r="L91" s="351">
        <v>137427</v>
      </c>
      <c r="M91" s="351">
        <v>148978</v>
      </c>
      <c r="N91" s="351">
        <v>172370</v>
      </c>
      <c r="O91" s="351">
        <v>166567</v>
      </c>
      <c r="P91" s="6">
        <f>AH91</f>
        <v>181016.87332462502</v>
      </c>
      <c r="Q91" s="6">
        <f>AI91</f>
        <v>186633.7654539347</v>
      </c>
      <c r="R91" s="6">
        <f>AJ91</f>
        <v>192054.12624910314</v>
      </c>
      <c r="S91" s="6">
        <f>AK91</f>
        <v>205636.49999548559</v>
      </c>
      <c r="T91" s="6">
        <f>AL91</f>
        <v>230123.08506934039</v>
      </c>
      <c r="W91" s="413" t="s">
        <v>400</v>
      </c>
      <c r="Y91" s="65">
        <f t="shared" ref="Y91:AG91" si="74">G91/G4</f>
        <v>0.23364616869486571</v>
      </c>
      <c r="Z91" s="65">
        <f t="shared" si="74"/>
        <v>0.20819289988270404</v>
      </c>
      <c r="AA91" s="65">
        <f t="shared" si="74"/>
        <v>0.16761003143379158</v>
      </c>
      <c r="AB91" s="65">
        <f t="shared" si="74"/>
        <v>0.17161392394131689</v>
      </c>
      <c r="AC91" s="65">
        <f t="shared" si="74"/>
        <v>0.19159038860702482</v>
      </c>
      <c r="AD91" s="65">
        <f t="shared" si="74"/>
        <v>0.14717089030533567</v>
      </c>
      <c r="AE91" s="65">
        <f t="shared" si="74"/>
        <v>0.15049529354956673</v>
      </c>
      <c r="AF91" s="65">
        <f t="shared" si="74"/>
        <v>0.16477549732814575</v>
      </c>
      <c r="AG91" s="65">
        <f t="shared" si="74"/>
        <v>0.14687113957021541</v>
      </c>
      <c r="AH91" s="7">
        <f>AH92*P4</f>
        <v>181016.87332462502</v>
      </c>
      <c r="AI91" s="7">
        <f>AI92*Q4</f>
        <v>186633.7654539347</v>
      </c>
      <c r="AJ91" s="7">
        <f>AJ92*R4</f>
        <v>192054.12624910314</v>
      </c>
      <c r="AK91" s="7">
        <f>AK92*S4</f>
        <v>205636.49999548559</v>
      </c>
      <c r="AL91" s="7">
        <f>AL92*T4</f>
        <v>230123.08506934039</v>
      </c>
    </row>
    <row r="92" spans="2:38" x14ac:dyDescent="0.3">
      <c r="B92" s="1" t="s">
        <v>11</v>
      </c>
      <c r="G92" s="351">
        <v>3051848</v>
      </c>
      <c r="H92" s="351">
        <v>3105860</v>
      </c>
      <c r="I92" s="351">
        <v>3071599</v>
      </c>
      <c r="J92" s="351">
        <v>3234980</v>
      </c>
      <c r="K92" s="351">
        <v>3400806</v>
      </c>
      <c r="L92" s="351">
        <v>3386206</v>
      </c>
      <c r="M92" s="351">
        <v>3499341</v>
      </c>
      <c r="N92" s="351">
        <v>3691841</v>
      </c>
      <c r="O92" s="351">
        <v>3954679</v>
      </c>
      <c r="P92" s="6">
        <f>P264</f>
        <v>4152500.4177860939</v>
      </c>
      <c r="Q92" s="6">
        <f t="shared" ref="Q92:T92" ca="1" si="75">Q264</f>
        <v>4375137.061380676</v>
      </c>
      <c r="R92" s="6">
        <f t="shared" ca="1" si="75"/>
        <v>4626227.3224458732</v>
      </c>
      <c r="S92" s="6">
        <f t="shared" ca="1" si="75"/>
        <v>4909963.975446403</v>
      </c>
      <c r="T92" s="6">
        <f t="shared" ca="1" si="75"/>
        <v>5231081.2672619103</v>
      </c>
      <c r="W92" s="407"/>
      <c r="Y92" s="65"/>
      <c r="AG92" s="65"/>
      <c r="AH92" s="65">
        <v>0.14499999999999999</v>
      </c>
      <c r="AI92" s="65">
        <v>0.13500000000000001</v>
      </c>
      <c r="AJ92" s="65">
        <v>0.125</v>
      </c>
      <c r="AK92" s="65">
        <v>0.12</v>
      </c>
      <c r="AL92" s="65">
        <v>0.12</v>
      </c>
    </row>
    <row r="93" spans="2:38" x14ac:dyDescent="0.3">
      <c r="B93" s="1" t="s">
        <v>12</v>
      </c>
      <c r="G93" s="351">
        <v>144807</v>
      </c>
      <c r="H93" s="351">
        <v>144626</v>
      </c>
      <c r="I93" s="351">
        <v>192813</v>
      </c>
      <c r="J93" s="351">
        <v>219566</v>
      </c>
      <c r="K93" s="351">
        <v>226024</v>
      </c>
      <c r="L93" s="351">
        <v>217799</v>
      </c>
      <c r="M93" s="351">
        <v>269773</v>
      </c>
      <c r="N93" s="351">
        <v>251682</v>
      </c>
      <c r="O93" s="351">
        <v>274192</v>
      </c>
      <c r="P93" s="6">
        <f>AH93</f>
        <v>303359.31184747507</v>
      </c>
      <c r="Q93" s="6">
        <f>AI93</f>
        <v>336632.0139854303</v>
      </c>
      <c r="R93" s="6">
        <f>AJ93</f>
        <v>372585.00492326007</v>
      </c>
      <c r="S93" s="6">
        <f>AK93</f>
        <v>414700.27499089594</v>
      </c>
      <c r="T93" s="6">
        <f>AL93</f>
        <v>461205.01632646972</v>
      </c>
      <c r="W93" s="413" t="s">
        <v>402</v>
      </c>
      <c r="Y93" s="65">
        <f t="shared" ref="Y93:AG93" si="76">G93/G4</f>
        <v>0.2443406159515662</v>
      </c>
      <c r="Z93" s="65">
        <f t="shared" si="76"/>
        <v>0.21473474781369245</v>
      </c>
      <c r="AA93" s="65">
        <f t="shared" si="76"/>
        <v>0.25380417327022003</v>
      </c>
      <c r="AB93" s="65">
        <f t="shared" si="76"/>
        <v>0.25282194594806212</v>
      </c>
      <c r="AC93" s="65">
        <f t="shared" si="76"/>
        <v>0.26931536817221008</v>
      </c>
      <c r="AD93" s="65">
        <f t="shared" si="76"/>
        <v>0.23324144991604126</v>
      </c>
      <c r="AE93" s="65">
        <f t="shared" si="76"/>
        <v>0.27252055220735455</v>
      </c>
      <c r="AF93" s="65">
        <f t="shared" si="76"/>
        <v>0.2405930656062098</v>
      </c>
      <c r="AG93" s="65">
        <f t="shared" si="76"/>
        <v>0.24176992742281786</v>
      </c>
      <c r="AH93" s="7">
        <f>AH94*P4</f>
        <v>303359.31184747507</v>
      </c>
      <c r="AI93" s="7">
        <f>AI94*Q4</f>
        <v>336632.0139854303</v>
      </c>
      <c r="AJ93" s="7">
        <f>AJ94*R4</f>
        <v>372585.00492326007</v>
      </c>
      <c r="AK93" s="7">
        <f>AK94*S4</f>
        <v>414700.27499089594</v>
      </c>
      <c r="AL93" s="7">
        <f>AL94*T4</f>
        <v>461205.01632646972</v>
      </c>
    </row>
    <row r="94" spans="2:38" x14ac:dyDescent="0.3">
      <c r="B94" s="3" t="s">
        <v>13</v>
      </c>
      <c r="G94" s="352">
        <v>3335124</v>
      </c>
      <c r="H94" s="352">
        <v>3390706</v>
      </c>
      <c r="I94" s="352">
        <v>3391744</v>
      </c>
      <c r="J94" s="352">
        <v>3603586</v>
      </c>
      <c r="K94" s="352">
        <v>3787623</v>
      </c>
      <c r="L94" s="352">
        <v>3741432</v>
      </c>
      <c r="M94" s="352">
        <v>3918092</v>
      </c>
      <c r="N94" s="352">
        <v>4115893</v>
      </c>
      <c r="O94" s="352">
        <v>4395438</v>
      </c>
      <c r="P94" s="9">
        <f>SUM(P91:P93)</f>
        <v>4636876.602958194</v>
      </c>
      <c r="Q94" s="9">
        <f t="shared" ref="Q94:T94" ca="1" si="77">SUM(Q91:Q93)</f>
        <v>4898402.8408200406</v>
      </c>
      <c r="R94" s="9">
        <f t="shared" ca="1" si="77"/>
        <v>5190866.4536182359</v>
      </c>
      <c r="S94" s="9">
        <f t="shared" ca="1" si="77"/>
        <v>5530300.7504327847</v>
      </c>
      <c r="T94" s="9">
        <f t="shared" ca="1" si="77"/>
        <v>5922409.3686577203</v>
      </c>
      <c r="W94" s="407"/>
      <c r="AE94" s="235"/>
      <c r="AF94" s="235"/>
      <c r="AG94" s="235"/>
      <c r="AH94" s="65">
        <v>0.24299999999999999</v>
      </c>
      <c r="AI94" s="65">
        <v>0.24349999999999999</v>
      </c>
      <c r="AJ94" s="65">
        <v>0.24249999999999999</v>
      </c>
      <c r="AK94" s="65">
        <v>0.24199999999999999</v>
      </c>
      <c r="AL94" s="65">
        <v>0.24049999999999999</v>
      </c>
    </row>
    <row r="95" spans="2:38" x14ac:dyDescent="0.3"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W95" s="407"/>
    </row>
    <row r="96" spans="2:38" x14ac:dyDescent="0.3">
      <c r="B96" s="3" t="s">
        <v>14</v>
      </c>
      <c r="G96" s="353">
        <v>5787891</v>
      </c>
      <c r="H96" s="353">
        <v>5982364</v>
      </c>
      <c r="I96" s="353">
        <v>6165658</v>
      </c>
      <c r="J96" s="353">
        <v>6691938</v>
      </c>
      <c r="K96" s="353">
        <v>7133287</v>
      </c>
      <c r="L96" s="353">
        <v>7006350</v>
      </c>
      <c r="M96" s="353">
        <v>7354107</v>
      </c>
      <c r="N96" s="353">
        <v>7933024</v>
      </c>
      <c r="O96" s="353">
        <v>8660950</v>
      </c>
      <c r="P96" s="7">
        <f ca="1">P88+P94</f>
        <v>9323570.8124551959</v>
      </c>
      <c r="Q96" s="7">
        <f t="shared" ref="Q96:T96" ca="1" si="78">Q88+Q94</f>
        <v>10128874.807406869</v>
      </c>
      <c r="R96" s="7">
        <f t="shared" ca="1" si="78"/>
        <v>10942337.406003777</v>
      </c>
      <c r="S96" s="7">
        <f t="shared" ca="1" si="78"/>
        <v>11910310.821139017</v>
      </c>
      <c r="T96" s="7">
        <f t="shared" ca="1" si="78"/>
        <v>12995737.532740928</v>
      </c>
      <c r="W96" s="407"/>
    </row>
    <row r="97" spans="2:39" x14ac:dyDescent="0.3"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W97" s="407"/>
    </row>
    <row r="98" spans="2:39" x14ac:dyDescent="0.3"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W98" s="414" t="s">
        <v>433</v>
      </c>
      <c r="Y98" s="6">
        <f t="shared" ref="Y98:AG98" si="79">G101</f>
        <v>127179</v>
      </c>
      <c r="Z98" s="6">
        <f t="shared" si="79"/>
        <v>136744</v>
      </c>
      <c r="AA98" s="6">
        <f t="shared" si="79"/>
        <v>125132</v>
      </c>
      <c r="AB98" s="6">
        <f t="shared" si="79"/>
        <v>192635</v>
      </c>
      <c r="AC98" s="6">
        <f t="shared" si="79"/>
        <v>199087</v>
      </c>
      <c r="AD98" s="6">
        <f t="shared" si="79"/>
        <v>161416</v>
      </c>
      <c r="AE98" s="6">
        <f t="shared" si="79"/>
        <v>175430</v>
      </c>
      <c r="AF98" s="6">
        <f t="shared" si="79"/>
        <v>177730</v>
      </c>
      <c r="AG98" s="6">
        <f t="shared" si="79"/>
        <v>243927</v>
      </c>
      <c r="AH98" s="7">
        <f>(AH100/365)*AH99</f>
        <v>260623.25455524662</v>
      </c>
      <c r="AI98" s="7">
        <f t="shared" ref="AI98:AL98" si="80">(AI100/365)*AI99</f>
        <v>280452.50457709975</v>
      </c>
      <c r="AJ98" s="7">
        <f t="shared" si="80"/>
        <v>302740.444051189</v>
      </c>
      <c r="AK98" s="7">
        <f t="shared" si="80"/>
        <v>327821.20119143336</v>
      </c>
      <c r="AL98" s="7">
        <f t="shared" si="80"/>
        <v>356007.76813466917</v>
      </c>
    </row>
    <row r="99" spans="2:39" x14ac:dyDescent="0.3">
      <c r="B99" t="s">
        <v>15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W99" s="414" t="s">
        <v>434</v>
      </c>
      <c r="Y99" s="6">
        <f t="shared" ref="Y99:AL99" si="81">(G5+G51)*-1</f>
        <v>459444</v>
      </c>
      <c r="Z99" s="6">
        <f t="shared" si="81"/>
        <v>521059</v>
      </c>
      <c r="AA99" s="6">
        <f t="shared" si="81"/>
        <v>527426</v>
      </c>
      <c r="AB99" s="6">
        <f t="shared" si="81"/>
        <v>718031</v>
      </c>
      <c r="AC99" s="6">
        <f t="shared" si="81"/>
        <v>676686</v>
      </c>
      <c r="AD99" s="6">
        <f t="shared" si="81"/>
        <v>683649</v>
      </c>
      <c r="AE99" s="6">
        <f t="shared" si="81"/>
        <v>688827</v>
      </c>
      <c r="AF99" s="6">
        <f t="shared" si="81"/>
        <v>751009</v>
      </c>
      <c r="AG99" s="6">
        <f t="shared" si="81"/>
        <v>733571</v>
      </c>
      <c r="AH99" s="6">
        <f t="shared" si="81"/>
        <v>792729.0659388752</v>
      </c>
      <c r="AI99" s="6">
        <f t="shared" si="81"/>
        <v>867501.39127662219</v>
      </c>
      <c r="AJ99" s="6">
        <f t="shared" si="81"/>
        <v>952588.46619555145</v>
      </c>
      <c r="AK99" s="6">
        <f t="shared" si="81"/>
        <v>1049602.9687269577</v>
      </c>
      <c r="AL99" s="6">
        <f t="shared" si="81"/>
        <v>1160203.8872245913</v>
      </c>
    </row>
    <row r="100" spans="2:39" x14ac:dyDescent="0.3">
      <c r="B100" s="1" t="s">
        <v>16</v>
      </c>
      <c r="G100" s="351">
        <v>57610</v>
      </c>
      <c r="H100" s="351">
        <v>63947</v>
      </c>
      <c r="I100" s="351">
        <v>70820</v>
      </c>
      <c r="J100" s="351">
        <v>74227</v>
      </c>
      <c r="K100" s="351">
        <v>76854</v>
      </c>
      <c r="L100" s="351">
        <v>84772</v>
      </c>
      <c r="M100" s="351">
        <v>86386</v>
      </c>
      <c r="N100" s="351">
        <v>84330</v>
      </c>
      <c r="O100" s="351">
        <v>99856</v>
      </c>
      <c r="P100" s="6">
        <f>P198</f>
        <v>103416.40523428026</v>
      </c>
      <c r="Q100" s="6">
        <f t="shared" ref="Q100:T100" si="82">Q198</f>
        <v>114918.01298783941</v>
      </c>
      <c r="R100" s="6">
        <f t="shared" si="82"/>
        <v>130934.48343400395</v>
      </c>
      <c r="S100" s="6">
        <f t="shared" si="82"/>
        <v>149657.67499671452</v>
      </c>
      <c r="T100" s="6">
        <f t="shared" si="82"/>
        <v>155812.50551569925</v>
      </c>
      <c r="W100" s="414" t="s">
        <v>435</v>
      </c>
      <c r="Y100" s="252">
        <f>(Y98/Y99)*365</f>
        <v>101.03589338417738</v>
      </c>
      <c r="Z100" s="252">
        <f t="shared" ref="Z100:AG100" si="83">(Z98/Z99)*365</f>
        <v>95.788691875584149</v>
      </c>
      <c r="AA100" s="252">
        <f t="shared" si="83"/>
        <v>86.596375605298192</v>
      </c>
      <c r="AB100" s="252">
        <f t="shared" si="83"/>
        <v>97.9230353564122</v>
      </c>
      <c r="AC100" s="252">
        <f t="shared" si="83"/>
        <v>107.38622492559325</v>
      </c>
      <c r="AD100" s="252">
        <f t="shared" si="83"/>
        <v>86.179954918386485</v>
      </c>
      <c r="AE100" s="252">
        <f t="shared" si="83"/>
        <v>92.957956061536493</v>
      </c>
      <c r="AF100" s="252">
        <f t="shared" si="83"/>
        <v>86.379058040582734</v>
      </c>
      <c r="AG100" s="252">
        <f t="shared" si="83"/>
        <v>121.36978561039082</v>
      </c>
      <c r="AH100">
        <v>120</v>
      </c>
      <c r="AI100">
        <v>118</v>
      </c>
      <c r="AJ100">
        <v>116</v>
      </c>
      <c r="AK100">
        <v>114</v>
      </c>
      <c r="AL100">
        <v>112</v>
      </c>
    </row>
    <row r="101" spans="2:39" x14ac:dyDescent="0.3">
      <c r="B101" s="1" t="s">
        <v>17</v>
      </c>
      <c r="G101" s="351">
        <v>127179</v>
      </c>
      <c r="H101" s="351">
        <v>136744</v>
      </c>
      <c r="I101" s="351">
        <v>125132</v>
      </c>
      <c r="J101" s="351">
        <v>192635</v>
      </c>
      <c r="K101" s="351">
        <v>199087</v>
      </c>
      <c r="L101" s="351">
        <v>161416</v>
      </c>
      <c r="M101" s="351">
        <v>175430</v>
      </c>
      <c r="N101" s="351">
        <v>177730</v>
      </c>
      <c r="O101" s="351">
        <v>243927</v>
      </c>
      <c r="P101" s="6">
        <f>AH98</f>
        <v>260623.25455524662</v>
      </c>
      <c r="Q101" s="6">
        <f>AI98</f>
        <v>280452.50457709975</v>
      </c>
      <c r="R101" s="6">
        <f>AJ98</f>
        <v>302740.444051189</v>
      </c>
      <c r="S101" s="6">
        <f>AK98</f>
        <v>327821.20119143336</v>
      </c>
      <c r="T101" s="6">
        <f>AL98</f>
        <v>356007.76813466917</v>
      </c>
      <c r="W101" s="407"/>
      <c r="AH101" s="71"/>
    </row>
    <row r="102" spans="2:39" x14ac:dyDescent="0.3">
      <c r="B102" s="1" t="s">
        <v>18</v>
      </c>
      <c r="G102" s="351">
        <v>181525</v>
      </c>
      <c r="H102" s="351">
        <v>194600</v>
      </c>
      <c r="I102" s="351">
        <v>207456</v>
      </c>
      <c r="J102" s="351">
        <v>220419</v>
      </c>
      <c r="K102" s="351">
        <v>233394</v>
      </c>
      <c r="L102" s="351">
        <v>246672</v>
      </c>
      <c r="M102" s="351">
        <v>259326</v>
      </c>
      <c r="N102" s="351">
        <v>285258</v>
      </c>
      <c r="O102" s="351">
        <v>311190</v>
      </c>
      <c r="P102" s="6">
        <f ca="1">AJ146</f>
        <v>346673.50312804792</v>
      </c>
      <c r="Q102" s="6">
        <f t="shared" ref="Q102:T102" ca="1" si="84">AK146</f>
        <v>379728.21298819839</v>
      </c>
      <c r="R102" s="6">
        <f t="shared" ca="1" si="84"/>
        <v>408487.2866719247</v>
      </c>
      <c r="S102" s="6">
        <f t="shared" ca="1" si="84"/>
        <v>430657.26871648431</v>
      </c>
      <c r="T102" s="6">
        <f t="shared" ca="1" si="84"/>
        <v>443741.9526877976</v>
      </c>
      <c r="W102" s="407"/>
    </row>
    <row r="103" spans="2:39" x14ac:dyDescent="0.3">
      <c r="B103" s="1" t="s">
        <v>19</v>
      </c>
      <c r="G103" s="351">
        <v>647366</v>
      </c>
      <c r="H103" s="351">
        <v>630549</v>
      </c>
      <c r="I103" s="351">
        <v>618186</v>
      </c>
      <c r="J103" s="351">
        <v>717386</v>
      </c>
      <c r="K103" s="351">
        <v>828696</v>
      </c>
      <c r="L103" s="351">
        <v>790240</v>
      </c>
      <c r="M103" s="351">
        <v>678538</v>
      </c>
      <c r="N103" s="351">
        <v>773775</v>
      </c>
      <c r="O103" s="351">
        <v>903039</v>
      </c>
      <c r="P103" s="6">
        <f ca="1">AH103</f>
        <v>964989.5790891127</v>
      </c>
      <c r="Q103" s="6">
        <f ca="1">AI103</f>
        <v>1033145.2303555006</v>
      </c>
      <c r="R103" s="6">
        <f ca="1">AJ103</f>
        <v>1121589.5841153872</v>
      </c>
      <c r="S103" s="6">
        <f ca="1">AK103</f>
        <v>1238672.3253984577</v>
      </c>
      <c r="T103" s="6">
        <f ca="1">AL103</f>
        <v>1358054.5721714268</v>
      </c>
      <c r="W103" s="414" t="s">
        <v>19</v>
      </c>
      <c r="Y103" s="65">
        <f t="shared" ref="Y103:AG103" si="85">G103/G96</f>
        <v>0.11184833992208906</v>
      </c>
      <c r="Z103" s="65">
        <f t="shared" si="85"/>
        <v>0.10540130958263322</v>
      </c>
      <c r="AA103" s="65">
        <f t="shared" si="85"/>
        <v>0.10026277811711257</v>
      </c>
      <c r="AB103" s="65">
        <f t="shared" si="85"/>
        <v>0.10720153115584753</v>
      </c>
      <c r="AC103" s="65">
        <f t="shared" si="85"/>
        <v>0.11617309103082492</v>
      </c>
      <c r="AD103" s="65">
        <f t="shared" si="85"/>
        <v>0.11278911273344894</v>
      </c>
      <c r="AE103" s="65">
        <f t="shared" si="85"/>
        <v>9.2266538955715488E-2</v>
      </c>
      <c r="AF103" s="65">
        <f t="shared" si="85"/>
        <v>9.7538467046110036E-2</v>
      </c>
      <c r="AG103" s="65">
        <f t="shared" si="85"/>
        <v>0.10426558287485783</v>
      </c>
      <c r="AH103" s="7">
        <f ca="1">AH104*P96</f>
        <v>964989.5790891127</v>
      </c>
      <c r="AI103" s="7">
        <f ca="1">AI104*Q96</f>
        <v>1033145.2303555006</v>
      </c>
      <c r="AJ103" s="7">
        <f ca="1">AJ104*R96</f>
        <v>1121589.5841153872</v>
      </c>
      <c r="AK103" s="7">
        <f ca="1">AK104*S96</f>
        <v>1238672.3253984577</v>
      </c>
      <c r="AL103" s="7">
        <f ca="1">AL104*T96</f>
        <v>1358054.5721714268</v>
      </c>
    </row>
    <row r="104" spans="2:39" x14ac:dyDescent="0.3">
      <c r="B104" s="1" t="s">
        <v>20</v>
      </c>
      <c r="G104" s="351">
        <v>12500</v>
      </c>
      <c r="H104" s="351">
        <v>23076</v>
      </c>
      <c r="I104" s="351">
        <v>58805</v>
      </c>
      <c r="J104" s="351">
        <v>59858</v>
      </c>
      <c r="K104" s="351">
        <v>61772</v>
      </c>
      <c r="L104" s="351">
        <v>94214</v>
      </c>
      <c r="M104" s="351">
        <v>76226</v>
      </c>
      <c r="N104" s="351">
        <v>136926</v>
      </c>
      <c r="O104" s="351">
        <v>156242</v>
      </c>
      <c r="P104" s="6">
        <f>AH111</f>
        <v>168042.321</v>
      </c>
      <c r="Q104" s="6">
        <f>AI111</f>
        <v>225712.321</v>
      </c>
      <c r="R104" s="6">
        <f>AJ111</f>
        <v>192987.321</v>
      </c>
      <c r="S104" s="6">
        <f>AK111</f>
        <v>204887.321</v>
      </c>
      <c r="T104" s="6">
        <f>AL111</f>
        <v>202287.321</v>
      </c>
      <c r="W104" s="414" t="s">
        <v>436</v>
      </c>
      <c r="AH104" s="65">
        <v>0.10349999999999999</v>
      </c>
      <c r="AI104" s="65">
        <v>0.10199999999999999</v>
      </c>
      <c r="AJ104" s="65">
        <v>0.10249999999999999</v>
      </c>
      <c r="AK104" s="65">
        <v>0.104</v>
      </c>
      <c r="AL104" s="65">
        <v>0.1045</v>
      </c>
    </row>
    <row r="105" spans="2:39" x14ac:dyDescent="0.3">
      <c r="B105" s="3" t="s">
        <v>25</v>
      </c>
      <c r="G105" s="352">
        <v>1026180</v>
      </c>
      <c r="H105" s="352">
        <v>1048916</v>
      </c>
      <c r="I105" s="352">
        <v>1080399</v>
      </c>
      <c r="J105" s="352">
        <v>1264525</v>
      </c>
      <c r="K105" s="352">
        <v>1399803</v>
      </c>
      <c r="L105" s="352">
        <v>1377314</v>
      </c>
      <c r="M105" s="352">
        <v>1275906</v>
      </c>
      <c r="N105" s="352">
        <v>1458019</v>
      </c>
      <c r="O105" s="352">
        <v>1714254</v>
      </c>
      <c r="P105" s="9">
        <f ca="1">SUM(P100:P104)</f>
        <v>1843745.0630066874</v>
      </c>
      <c r="Q105" s="9">
        <f t="shared" ref="Q105:T105" ca="1" si="86">SUM(Q100:Q104)</f>
        <v>2033956.2819086383</v>
      </c>
      <c r="R105" s="9">
        <f t="shared" ca="1" si="86"/>
        <v>2156739.1192725049</v>
      </c>
      <c r="S105" s="9">
        <f t="shared" ca="1" si="86"/>
        <v>2351695.7913030898</v>
      </c>
      <c r="T105" s="9">
        <f t="shared" ca="1" si="86"/>
        <v>2515904.1195095931</v>
      </c>
      <c r="W105" s="407"/>
    </row>
    <row r="106" spans="2:39" x14ac:dyDescent="0.3"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W106" s="407"/>
      <c r="Z106" s="65">
        <f t="shared" ref="Z106:AG106" si="87">(H103/(H4+G4))</f>
        <v>0.49800340242972024</v>
      </c>
      <c r="AA106" s="65">
        <f t="shared" si="87"/>
        <v>0.4313320801952551</v>
      </c>
      <c r="AB106" s="65">
        <f t="shared" si="87"/>
        <v>0.44061338215757362</v>
      </c>
      <c r="AC106" s="65">
        <f t="shared" si="87"/>
        <v>0.48526598407813948</v>
      </c>
      <c r="AD106" s="65">
        <f t="shared" si="87"/>
        <v>0.44569627635154418</v>
      </c>
      <c r="AE106" s="65">
        <f t="shared" si="87"/>
        <v>0.35272364337660045</v>
      </c>
      <c r="AF106" s="65">
        <f t="shared" si="87"/>
        <v>0.38004516681663331</v>
      </c>
      <c r="AG106" s="65">
        <f t="shared" si="87"/>
        <v>0.41420140327026095</v>
      </c>
      <c r="AH106" s="7">
        <f>AH107*(O4+P4)</f>
        <v>970866.80615368753</v>
      </c>
      <c r="AI106" s="7">
        <f>AI107*(P4+Q4)</f>
        <v>1058922.9880246273</v>
      </c>
      <c r="AJ106" s="7">
        <f>AJ107*(Q4+R4)</f>
        <v>1179237.7600622096</v>
      </c>
      <c r="AK106" s="7">
        <f>AK107*(R4+S4)</f>
        <v>1332528.9090816339</v>
      </c>
      <c r="AL106" s="7">
        <f>AL107*(S4+T4)</f>
        <v>1488845.2489714886</v>
      </c>
    </row>
    <row r="107" spans="2:39" x14ac:dyDescent="0.3">
      <c r="B107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W107" s="407"/>
      <c r="AH107" s="65">
        <v>0.40749999999999997</v>
      </c>
      <c r="AI107" s="65">
        <v>0.40250000000000002</v>
      </c>
      <c r="AJ107" s="65">
        <v>0.40400000000000003</v>
      </c>
      <c r="AK107" s="65">
        <v>0.41</v>
      </c>
      <c r="AL107" s="65">
        <v>0.41</v>
      </c>
    </row>
    <row r="108" spans="2:39" x14ac:dyDescent="0.3">
      <c r="B108" s="1" t="s">
        <v>22</v>
      </c>
      <c r="G108" s="351">
        <v>955540</v>
      </c>
      <c r="H108" s="351">
        <v>965314</v>
      </c>
      <c r="I108" s="351">
        <v>909704</v>
      </c>
      <c r="J108" s="351">
        <v>926604</v>
      </c>
      <c r="K108" s="351">
        <v>948257</v>
      </c>
      <c r="L108" s="351">
        <v>848535</v>
      </c>
      <c r="M108" s="351">
        <v>880433</v>
      </c>
      <c r="N108" s="351">
        <v>856228</v>
      </c>
      <c r="O108" s="351">
        <v>860026</v>
      </c>
      <c r="P108" s="6">
        <f>P383</f>
        <v>857523</v>
      </c>
      <c r="Q108" s="6">
        <f>P108*(1+5%)</f>
        <v>900399.15</v>
      </c>
      <c r="R108" s="6">
        <f t="shared" ref="R108" si="88">Q108*(1+5%)</f>
        <v>945419.10750000004</v>
      </c>
      <c r="S108" s="6">
        <f>R108*(1+5%)+(39047.0013286322/2)</f>
        <v>1012213.5635393162</v>
      </c>
      <c r="T108" s="6">
        <f>S108*(1+5%)+(39047.0013286322/2)</f>
        <v>1082347.7423805981</v>
      </c>
      <c r="W108" s="414" t="s">
        <v>476</v>
      </c>
    </row>
    <row r="109" spans="2:39" x14ac:dyDescent="0.3">
      <c r="B109" s="1" t="s">
        <v>460</v>
      </c>
      <c r="P109" s="6">
        <f>P391</f>
        <v>40991.671999999999</v>
      </c>
      <c r="Q109" s="6">
        <f t="shared" ref="Q109:T109" si="89">Q391</f>
        <v>40991.671999999999</v>
      </c>
      <c r="R109" s="6">
        <f t="shared" si="89"/>
        <v>40991.671999999999</v>
      </c>
      <c r="S109" s="6">
        <f t="shared" si="89"/>
        <v>40991.671999999999</v>
      </c>
      <c r="T109" s="6">
        <f t="shared" si="89"/>
        <v>40991.671999999999</v>
      </c>
      <c r="W109" s="414"/>
      <c r="X109" s="1" t="s">
        <v>473</v>
      </c>
      <c r="Y109" s="6">
        <f t="shared" ref="Y109:AG109" si="90">Y115</f>
        <v>9997.7780000000002</v>
      </c>
      <c r="Z109" s="6">
        <f t="shared" si="90"/>
        <v>20397.667000000001</v>
      </c>
      <c r="AA109" s="6">
        <f t="shared" si="90"/>
        <v>56011.665999999997</v>
      </c>
      <c r="AB109" s="6">
        <f t="shared" si="90"/>
        <v>57148</v>
      </c>
      <c r="AC109" s="6">
        <f t="shared" si="90"/>
        <v>59391.445</v>
      </c>
      <c r="AD109" s="6">
        <f t="shared" si="90"/>
        <v>92290.945000000007</v>
      </c>
      <c r="AE109" s="6">
        <f t="shared" si="90"/>
        <v>74760.444000000003</v>
      </c>
      <c r="AF109" s="6">
        <f t="shared" si="90"/>
        <v>135806.27799999999</v>
      </c>
      <c r="AG109" s="6">
        <f t="shared" si="90"/>
        <v>154676.321</v>
      </c>
      <c r="AH109" s="6">
        <f>AA129</f>
        <v>165916.321</v>
      </c>
      <c r="AI109" s="6">
        <f>AB129</f>
        <v>223586.321</v>
      </c>
      <c r="AJ109" s="6">
        <f>AC129</f>
        <v>190861.321</v>
      </c>
      <c r="AK109" s="6">
        <f>AD129</f>
        <v>202761.321</v>
      </c>
      <c r="AL109" s="6">
        <f>AE129</f>
        <v>200161.321</v>
      </c>
    </row>
    <row r="110" spans="2:39" x14ac:dyDescent="0.3">
      <c r="B110" s="1" t="s">
        <v>23</v>
      </c>
      <c r="G110" s="351">
        <v>140455</v>
      </c>
      <c r="H110" s="351">
        <v>147986</v>
      </c>
      <c r="I110" s="351">
        <v>153633</v>
      </c>
      <c r="J110" s="351">
        <v>177233</v>
      </c>
      <c r="K110" s="351">
        <v>183603</v>
      </c>
      <c r="L110" s="351">
        <v>163869</v>
      </c>
      <c r="M110" s="351">
        <v>132190</v>
      </c>
      <c r="N110" s="351">
        <v>157982</v>
      </c>
      <c r="O110" s="351">
        <v>154281</v>
      </c>
      <c r="P110" s="6">
        <f>AH143</f>
        <v>118597.26183337503</v>
      </c>
      <c r="Q110" s="6">
        <f t="shared" ref="Q110:T110" si="91">AI143</f>
        <v>127878.69114436264</v>
      </c>
      <c r="R110" s="6">
        <f t="shared" si="91"/>
        <v>138278.97089935426</v>
      </c>
      <c r="S110" s="6">
        <f t="shared" si="91"/>
        <v>154227.37499661418</v>
      </c>
      <c r="T110" s="6">
        <f t="shared" si="91"/>
        <v>172592.31380200532</v>
      </c>
      <c r="V110" s="6"/>
      <c r="W110" s="407"/>
      <c r="X110" s="1" t="s">
        <v>474</v>
      </c>
      <c r="Y110" s="6">
        <f t="shared" ref="Y110:AG110" si="92">Y120</f>
        <v>2502.2220000000002</v>
      </c>
      <c r="Z110" s="6">
        <f t="shared" si="92"/>
        <v>2678.3330000000001</v>
      </c>
      <c r="AA110" s="6">
        <f t="shared" si="92"/>
        <v>2793.3339999999998</v>
      </c>
      <c r="AB110" s="6">
        <f t="shared" si="92"/>
        <v>2710</v>
      </c>
      <c r="AC110" s="6">
        <f t="shared" si="92"/>
        <v>2380.5549999999998</v>
      </c>
      <c r="AD110" s="6">
        <f t="shared" si="92"/>
        <v>1923.0550000000001</v>
      </c>
      <c r="AE110" s="6">
        <f t="shared" si="92"/>
        <v>1465.556</v>
      </c>
      <c r="AF110" s="6">
        <f t="shared" si="92"/>
        <v>1119.722</v>
      </c>
      <c r="AG110" s="6">
        <f t="shared" si="92"/>
        <v>1565.4169999999999</v>
      </c>
      <c r="AH110" s="6">
        <v>2126</v>
      </c>
      <c r="AI110" s="6">
        <v>2126</v>
      </c>
      <c r="AJ110" s="6">
        <v>2126</v>
      </c>
      <c r="AK110" s="6">
        <v>2126</v>
      </c>
      <c r="AL110" s="6">
        <v>2126</v>
      </c>
    </row>
    <row r="111" spans="2:39" x14ac:dyDescent="0.3">
      <c r="B111" s="3" t="s">
        <v>24</v>
      </c>
      <c r="G111" s="352">
        <v>1095995</v>
      </c>
      <c r="H111" s="352">
        <v>1113300</v>
      </c>
      <c r="I111" s="352">
        <v>1063337</v>
      </c>
      <c r="J111" s="352">
        <v>1103837</v>
      </c>
      <c r="K111" s="352">
        <v>1131860</v>
      </c>
      <c r="L111" s="352">
        <v>1012404</v>
      </c>
      <c r="M111" s="352">
        <v>1042623</v>
      </c>
      <c r="N111" s="352">
        <v>1014210</v>
      </c>
      <c r="O111" s="352">
        <v>1014307</v>
      </c>
      <c r="P111" s="9">
        <f>SUM(P108:P110)</f>
        <v>1017111.9338333751</v>
      </c>
      <c r="Q111" s="9">
        <f>SUM(Q108:Q110)</f>
        <v>1069269.5131443627</v>
      </c>
      <c r="R111" s="9">
        <f>SUM(R108:R110)</f>
        <v>1124689.7503993544</v>
      </c>
      <c r="S111" s="9">
        <f>SUM(S108:S110)</f>
        <v>1207432.6105359304</v>
      </c>
      <c r="T111" s="9">
        <f>SUM(T108:T110)</f>
        <v>1295931.7281826034</v>
      </c>
      <c r="W111" s="407"/>
      <c r="X111" s="85" t="s">
        <v>475</v>
      </c>
      <c r="Y111" s="6">
        <f t="shared" ref="Y111:AL111" si="93">SUM(Y109:Y110)</f>
        <v>12500</v>
      </c>
      <c r="Z111" s="6">
        <f t="shared" si="93"/>
        <v>23076</v>
      </c>
      <c r="AA111" s="6">
        <f t="shared" si="93"/>
        <v>58805</v>
      </c>
      <c r="AB111" s="6">
        <f t="shared" si="93"/>
        <v>59858</v>
      </c>
      <c r="AC111" s="6">
        <f t="shared" si="93"/>
        <v>61772</v>
      </c>
      <c r="AD111" s="6">
        <f t="shared" si="93"/>
        <v>94214</v>
      </c>
      <c r="AE111" s="6">
        <f t="shared" si="93"/>
        <v>76226</v>
      </c>
      <c r="AF111" s="6">
        <f t="shared" si="93"/>
        <v>136926</v>
      </c>
      <c r="AG111" s="6">
        <f t="shared" si="93"/>
        <v>156241.73799999998</v>
      </c>
      <c r="AH111" s="7">
        <f t="shared" si="93"/>
        <v>168042.321</v>
      </c>
      <c r="AI111" s="7">
        <f t="shared" si="93"/>
        <v>225712.321</v>
      </c>
      <c r="AJ111" s="7">
        <f t="shared" si="93"/>
        <v>192987.321</v>
      </c>
      <c r="AK111" s="7">
        <f t="shared" si="93"/>
        <v>204887.321</v>
      </c>
      <c r="AL111" s="7">
        <f t="shared" si="93"/>
        <v>202287.321</v>
      </c>
      <c r="AM111" s="227" t="s">
        <v>477</v>
      </c>
    </row>
    <row r="112" spans="2:39" x14ac:dyDescent="0.3"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W112" s="407"/>
    </row>
    <row r="113" spans="2:38" x14ac:dyDescent="0.3">
      <c r="B113" s="3" t="s">
        <v>26</v>
      </c>
      <c r="G113" s="353">
        <v>2122175</v>
      </c>
      <c r="H113" s="353">
        <v>2162216</v>
      </c>
      <c r="I113" s="353">
        <v>2143736</v>
      </c>
      <c r="J113" s="353">
        <v>2368362</v>
      </c>
      <c r="K113" s="353">
        <v>2531663</v>
      </c>
      <c r="L113" s="353">
        <v>2389718</v>
      </c>
      <c r="M113" s="353">
        <v>2318529</v>
      </c>
      <c r="N113" s="353">
        <v>2472229</v>
      </c>
      <c r="O113" s="353">
        <v>2728561</v>
      </c>
      <c r="P113" s="7">
        <f ca="1">P111+P105</f>
        <v>2860856.9968400626</v>
      </c>
      <c r="Q113" s="7">
        <f ca="1">Q111+Q105</f>
        <v>3103225.795053001</v>
      </c>
      <c r="R113" s="7">
        <f ca="1">R111+R105</f>
        <v>3281428.8696718593</v>
      </c>
      <c r="S113" s="7">
        <f ca="1">S111+S105</f>
        <v>3559128.4018390202</v>
      </c>
      <c r="T113" s="7">
        <f ca="1">T111+T105</f>
        <v>3811835.8476921963</v>
      </c>
      <c r="W113" s="407"/>
      <c r="X113" s="275" t="s">
        <v>466</v>
      </c>
      <c r="Z113" s="65"/>
      <c r="AA113" s="65"/>
      <c r="AB113" s="65"/>
      <c r="AC113" s="65"/>
      <c r="AD113" s="65"/>
      <c r="AE113" s="65"/>
      <c r="AF113" s="65"/>
      <c r="AG113" s="65"/>
    </row>
    <row r="114" spans="2:38" x14ac:dyDescent="0.3"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W114" s="407"/>
      <c r="X114" t="s">
        <v>22</v>
      </c>
      <c r="Y114" s="6">
        <v>955540</v>
      </c>
      <c r="Z114" s="6">
        <v>965314</v>
      </c>
      <c r="AA114" s="6">
        <v>909704</v>
      </c>
      <c r="AB114" s="6">
        <v>926604</v>
      </c>
      <c r="AC114" s="6">
        <v>948257</v>
      </c>
      <c r="AD114" s="6">
        <v>848535</v>
      </c>
      <c r="AE114" s="6">
        <v>880433</v>
      </c>
      <c r="AF114" s="6">
        <v>856228</v>
      </c>
      <c r="AG114" s="6">
        <v>860026</v>
      </c>
    </row>
    <row r="115" spans="2:38" x14ac:dyDescent="0.3">
      <c r="B115" t="s">
        <v>27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W115" s="407"/>
      <c r="X115" t="s">
        <v>458</v>
      </c>
      <c r="Y115" s="6">
        <v>9997.7780000000002</v>
      </c>
      <c r="Z115" s="6">
        <v>20397.667000000001</v>
      </c>
      <c r="AA115" s="6">
        <v>56011.665999999997</v>
      </c>
      <c r="AB115" s="6">
        <v>57148</v>
      </c>
      <c r="AC115" s="6">
        <v>59391.445</v>
      </c>
      <c r="AD115" s="6">
        <v>92290.945000000007</v>
      </c>
      <c r="AE115" s="6">
        <v>74760.444000000003</v>
      </c>
      <c r="AF115" s="6">
        <v>135806.27799999999</v>
      </c>
      <c r="AG115" s="6">
        <v>154676.321</v>
      </c>
    </row>
    <row r="116" spans="2:38" x14ac:dyDescent="0.3">
      <c r="B116" t="s">
        <v>28</v>
      </c>
      <c r="G116" s="351">
        <v>259336</v>
      </c>
      <c r="H116" s="351">
        <v>259336</v>
      </c>
      <c r="I116" s="351">
        <v>259327</v>
      </c>
      <c r="J116" s="351">
        <v>259327</v>
      </c>
      <c r="K116" s="351">
        <v>259326</v>
      </c>
      <c r="L116" s="351">
        <v>259326</v>
      </c>
      <c r="M116" s="351">
        <v>259325</v>
      </c>
      <c r="N116" s="351">
        <v>259325</v>
      </c>
      <c r="O116" s="351">
        <v>259324</v>
      </c>
      <c r="P116" s="6">
        <v>259324</v>
      </c>
      <c r="Q116" s="6">
        <v>259324</v>
      </c>
      <c r="R116" s="6">
        <v>259324</v>
      </c>
      <c r="S116" s="6">
        <v>259324</v>
      </c>
      <c r="T116" s="6">
        <v>259324</v>
      </c>
      <c r="W116" s="407"/>
      <c r="X116" t="s">
        <v>459</v>
      </c>
      <c r="Y116" s="6">
        <v>0</v>
      </c>
      <c r="Z116" s="6">
        <v>0</v>
      </c>
      <c r="AA116" s="6">
        <v>-5250</v>
      </c>
      <c r="AB116" s="6">
        <v>-1750</v>
      </c>
      <c r="AC116" s="6">
        <v>-3000</v>
      </c>
      <c r="AD116" s="6">
        <v>-10400</v>
      </c>
      <c r="AE116" s="6">
        <v>-39160</v>
      </c>
      <c r="AF116" s="6">
        <v>-1750</v>
      </c>
      <c r="AG116" s="6">
        <v>-4800</v>
      </c>
    </row>
    <row r="117" spans="2:38" x14ac:dyDescent="0.3">
      <c r="B117" t="s">
        <v>29</v>
      </c>
      <c r="G117" s="351">
        <v>70941</v>
      </c>
      <c r="H117" s="351">
        <v>70941</v>
      </c>
      <c r="I117" s="351">
        <v>72390</v>
      </c>
      <c r="J117" s="351">
        <v>73261</v>
      </c>
      <c r="K117" s="351">
        <v>73307</v>
      </c>
      <c r="L117" s="351">
        <v>73326</v>
      </c>
      <c r="M117" s="351">
        <v>73361</v>
      </c>
      <c r="N117" s="351">
        <v>73446</v>
      </c>
      <c r="O117" s="351">
        <v>73666</v>
      </c>
      <c r="P117" s="6">
        <v>73666</v>
      </c>
      <c r="Q117" s="6">
        <v>73666</v>
      </c>
      <c r="R117" s="6">
        <v>73666</v>
      </c>
      <c r="S117" s="6">
        <v>73666</v>
      </c>
      <c r="T117" s="6">
        <v>73666</v>
      </c>
      <c r="W117" s="407"/>
    </row>
    <row r="118" spans="2:38" x14ac:dyDescent="0.3">
      <c r="B118" t="s">
        <v>30</v>
      </c>
      <c r="G118" s="351">
        <v>311147</v>
      </c>
      <c r="H118" s="351">
        <v>311147</v>
      </c>
      <c r="I118" s="351">
        <v>311147</v>
      </c>
      <c r="J118" s="351">
        <v>311147</v>
      </c>
      <c r="K118" s="351">
        <v>311147</v>
      </c>
      <c r="L118" s="351">
        <v>311147</v>
      </c>
      <c r="M118" s="351">
        <v>311147</v>
      </c>
      <c r="N118" s="351">
        <v>311147</v>
      </c>
      <c r="O118" s="351">
        <v>311147</v>
      </c>
      <c r="P118" s="6">
        <f t="shared" ref="P118:T118" si="94">P449</f>
        <v>311147</v>
      </c>
      <c r="Q118" s="6">
        <f t="shared" si="94"/>
        <v>311147</v>
      </c>
      <c r="R118" s="6">
        <f t="shared" si="94"/>
        <v>311147</v>
      </c>
      <c r="S118" s="6">
        <f t="shared" si="94"/>
        <v>311147</v>
      </c>
      <c r="T118" s="6">
        <f t="shared" si="94"/>
        <v>311147</v>
      </c>
      <c r="W118" s="407"/>
      <c r="X118" s="275" t="s">
        <v>467</v>
      </c>
    </row>
    <row r="119" spans="2:38" x14ac:dyDescent="0.3">
      <c r="B119" t="s">
        <v>31</v>
      </c>
      <c r="G119" s="351">
        <v>28021</v>
      </c>
      <c r="H119" s="351">
        <v>0</v>
      </c>
      <c r="I119" s="351">
        <v>0</v>
      </c>
      <c r="J119" s="351">
        <v>0</v>
      </c>
      <c r="K119" s="351">
        <v>0</v>
      </c>
      <c r="L119" s="351">
        <v>0</v>
      </c>
      <c r="M119" s="351">
        <v>181555</v>
      </c>
      <c r="N119" s="351">
        <v>87284</v>
      </c>
      <c r="O119" s="351">
        <v>16199</v>
      </c>
      <c r="P119" s="6">
        <f t="shared" ref="P119:T119" si="95">P451</f>
        <v>57652.5</v>
      </c>
      <c r="Q119" s="6">
        <f t="shared" si="95"/>
        <v>72468.25</v>
      </c>
      <c r="R119" s="6">
        <f t="shared" si="95"/>
        <v>72468.25</v>
      </c>
      <c r="S119" s="6">
        <f t="shared" si="95"/>
        <v>72468.25</v>
      </c>
      <c r="T119" s="6">
        <f t="shared" si="95"/>
        <v>72468.25</v>
      </c>
      <c r="W119" s="407"/>
      <c r="X119" t="s">
        <v>461</v>
      </c>
      <c r="Y119" s="6">
        <v>10020.132</v>
      </c>
      <c r="Z119" s="6">
        <v>9029.7649999999994</v>
      </c>
      <c r="AA119" s="6">
        <v>26459.677</v>
      </c>
      <c r="AB119" s="6">
        <v>31824.385999999999</v>
      </c>
      <c r="AC119" s="6">
        <v>38726.925000000003</v>
      </c>
      <c r="AD119" s="6">
        <v>35136</v>
      </c>
      <c r="AE119" s="6">
        <v>37795.500999999997</v>
      </c>
      <c r="AF119" s="6">
        <v>39834.495999999999</v>
      </c>
      <c r="AG119" s="6">
        <v>40991.671999999999</v>
      </c>
    </row>
    <row r="120" spans="2:38" x14ac:dyDescent="0.3">
      <c r="B120" t="s">
        <v>86</v>
      </c>
      <c r="G120" s="351">
        <v>2955396</v>
      </c>
      <c r="H120" s="351">
        <v>3127528</v>
      </c>
      <c r="I120" s="351">
        <v>3346232</v>
      </c>
      <c r="J120" s="351">
        <v>3606105</v>
      </c>
      <c r="K120" s="351">
        <v>3851130</v>
      </c>
      <c r="L120" s="351">
        <v>4119741</v>
      </c>
      <c r="M120" s="351">
        <v>4260829</v>
      </c>
      <c r="N120" s="351">
        <v>4705070</v>
      </c>
      <c r="O120" s="351">
        <v>5193142</v>
      </c>
      <c r="P120" s="6">
        <f ca="1">P447</f>
        <v>5682013.3156147962</v>
      </c>
      <c r="Q120" s="6">
        <f t="shared" ref="Q120:S120" ca="1" si="96">Q447</f>
        <v>6230132.7623534063</v>
      </c>
      <c r="R120" s="6">
        <f t="shared" ca="1" si="96"/>
        <v>6845589.2863316825</v>
      </c>
      <c r="S120" s="6">
        <f t="shared" ca="1" si="96"/>
        <v>7538298.1692995699</v>
      </c>
      <c r="T120" s="6">
        <f ca="1">T447+76597.3814762644/2</f>
        <v>8357608.4350485001</v>
      </c>
      <c r="W120" s="407"/>
      <c r="X120" t="s">
        <v>462</v>
      </c>
      <c r="Y120" s="6">
        <v>2502.2220000000002</v>
      </c>
      <c r="Z120" s="6">
        <v>2678.3330000000001</v>
      </c>
      <c r="AA120" s="6">
        <v>2793.3339999999998</v>
      </c>
      <c r="AB120" s="6">
        <v>2710</v>
      </c>
      <c r="AC120" s="6">
        <v>2380.5549999999998</v>
      </c>
      <c r="AD120" s="6">
        <v>1923.0550000000001</v>
      </c>
      <c r="AE120" s="6">
        <v>1465.556</v>
      </c>
      <c r="AF120" s="6">
        <v>1119.722</v>
      </c>
      <c r="AG120" s="6">
        <v>1565.4169999999999</v>
      </c>
    </row>
    <row r="121" spans="2:38" x14ac:dyDescent="0.3">
      <c r="B121" t="s">
        <v>342</v>
      </c>
      <c r="G121" s="351">
        <v>0</v>
      </c>
      <c r="H121" s="351">
        <v>-3089</v>
      </c>
      <c r="I121" s="351">
        <v>0</v>
      </c>
      <c r="J121" s="351">
        <v>0</v>
      </c>
      <c r="K121" s="351">
        <v>0</v>
      </c>
      <c r="L121" s="351">
        <v>0</v>
      </c>
      <c r="M121" s="351">
        <v>0</v>
      </c>
      <c r="N121" s="351">
        <v>0</v>
      </c>
      <c r="O121" s="351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W121" s="407"/>
      <c r="X121" t="s">
        <v>456</v>
      </c>
      <c r="Y121" s="6">
        <v>-513</v>
      </c>
      <c r="Z121" s="6">
        <v>-543</v>
      </c>
      <c r="AA121" s="6">
        <v>-604</v>
      </c>
      <c r="AB121" s="6">
        <v>-636</v>
      </c>
      <c r="AC121" s="6">
        <v>-719</v>
      </c>
      <c r="AD121" s="6">
        <v>-719</v>
      </c>
      <c r="AE121" s="6">
        <v>-720</v>
      </c>
      <c r="AF121" s="6">
        <v>-552</v>
      </c>
      <c r="AG121" s="6">
        <v>-390</v>
      </c>
    </row>
    <row r="122" spans="2:38" x14ac:dyDescent="0.3">
      <c r="B122" t="s">
        <v>32</v>
      </c>
      <c r="G122" s="351">
        <v>10891</v>
      </c>
      <c r="H122" s="351">
        <v>25540</v>
      </c>
      <c r="I122" s="351">
        <v>923</v>
      </c>
      <c r="J122" s="351">
        <v>38705</v>
      </c>
      <c r="K122" s="351">
        <v>69252</v>
      </c>
      <c r="L122" s="351">
        <v>-182466</v>
      </c>
      <c r="M122" s="351">
        <v>-87910</v>
      </c>
      <c r="N122" s="351">
        <v>-16676</v>
      </c>
      <c r="O122" s="351">
        <v>37482</v>
      </c>
      <c r="P122" s="6">
        <f>O122</f>
        <v>37482</v>
      </c>
      <c r="Q122" s="6">
        <f t="shared" ref="Q122" si="97">P122</f>
        <v>37482</v>
      </c>
      <c r="R122" s="6">
        <v>57285</v>
      </c>
      <c r="S122" s="6">
        <v>54850</v>
      </c>
      <c r="T122" s="6">
        <v>68259</v>
      </c>
      <c r="W122" s="407"/>
    </row>
    <row r="123" spans="2:38" x14ac:dyDescent="0.3">
      <c r="B123" t="s">
        <v>27</v>
      </c>
      <c r="G123" s="355">
        <v>3635732</v>
      </c>
      <c r="H123" s="355">
        <v>3791403</v>
      </c>
      <c r="I123" s="355">
        <v>3990019</v>
      </c>
      <c r="J123" s="355">
        <v>4288545</v>
      </c>
      <c r="K123" s="355">
        <v>4564162</v>
      </c>
      <c r="L123" s="355">
        <v>4581074</v>
      </c>
      <c r="M123" s="355">
        <v>4998307</v>
      </c>
      <c r="N123" s="355">
        <v>5419596</v>
      </c>
      <c r="O123" s="355">
        <v>5890960</v>
      </c>
      <c r="P123" s="10">
        <f ca="1">SUM(P116:P122)</f>
        <v>6421284.8156147962</v>
      </c>
      <c r="Q123" s="10">
        <f t="shared" ref="Q123:T123" ca="1" si="98">SUM(Q116:Q122)</f>
        <v>6984220.0123534063</v>
      </c>
      <c r="R123" s="10">
        <f t="shared" ca="1" si="98"/>
        <v>7619479.5363316825</v>
      </c>
      <c r="S123" s="10">
        <f t="shared" ca="1" si="98"/>
        <v>8309753.4192995699</v>
      </c>
      <c r="T123" s="10">
        <f t="shared" ca="1" si="98"/>
        <v>9142472.6850485001</v>
      </c>
      <c r="W123" s="407"/>
      <c r="AA123" s="5">
        <v>46174</v>
      </c>
      <c r="AB123" s="5">
        <v>46266</v>
      </c>
      <c r="AC123" s="5">
        <v>46357</v>
      </c>
      <c r="AD123" s="5">
        <v>46447</v>
      </c>
      <c r="AE123" s="5">
        <v>46539</v>
      </c>
      <c r="AL123" s="3"/>
    </row>
    <row r="124" spans="2:38" x14ac:dyDescent="0.3">
      <c r="B124" t="s">
        <v>33</v>
      </c>
      <c r="G124" s="351">
        <v>29984</v>
      </c>
      <c r="H124" s="351">
        <v>28745</v>
      </c>
      <c r="I124" s="351">
        <v>31903</v>
      </c>
      <c r="J124" s="351">
        <v>35031</v>
      </c>
      <c r="K124" s="351">
        <v>37462</v>
      </c>
      <c r="L124" s="351">
        <v>35558</v>
      </c>
      <c r="M124" s="351">
        <v>37271</v>
      </c>
      <c r="N124" s="351">
        <v>41199</v>
      </c>
      <c r="O124" s="351">
        <v>41429</v>
      </c>
      <c r="P124" s="6">
        <f>O124</f>
        <v>41429</v>
      </c>
      <c r="Q124" s="6">
        <f t="shared" ref="Q124:T124" si="99">P124</f>
        <v>41429</v>
      </c>
      <c r="R124" s="6">
        <f t="shared" si="99"/>
        <v>41429</v>
      </c>
      <c r="S124" s="6">
        <f t="shared" si="99"/>
        <v>41429</v>
      </c>
      <c r="T124" s="6">
        <f t="shared" si="99"/>
        <v>41429</v>
      </c>
      <c r="W124" s="407"/>
      <c r="X124" s="227" t="s">
        <v>468</v>
      </c>
    </row>
    <row r="125" spans="2:38" x14ac:dyDescent="0.3">
      <c r="B125" s="3" t="s">
        <v>34</v>
      </c>
      <c r="G125" s="352">
        <v>3665716</v>
      </c>
      <c r="H125" s="352">
        <v>3820148</v>
      </c>
      <c r="I125" s="352">
        <v>4021922</v>
      </c>
      <c r="J125" s="352">
        <v>4323576</v>
      </c>
      <c r="K125" s="352">
        <v>4601624</v>
      </c>
      <c r="L125" s="352">
        <v>4616632</v>
      </c>
      <c r="M125" s="352">
        <v>5035578</v>
      </c>
      <c r="N125" s="352">
        <v>5460795</v>
      </c>
      <c r="O125" s="352">
        <v>5932389</v>
      </c>
      <c r="P125" s="9">
        <f ca="1">SUM(P123:P124)</f>
        <v>6462713.8156147962</v>
      </c>
      <c r="Q125" s="9">
        <f t="shared" ref="Q125:T125" ca="1" si="100">SUM(Q123:Q124)</f>
        <v>7025649.0123534063</v>
      </c>
      <c r="R125" s="9">
        <f t="shared" ca="1" si="100"/>
        <v>7660908.5363316825</v>
      </c>
      <c r="S125" s="9">
        <f t="shared" ca="1" si="100"/>
        <v>8351182.4192995699</v>
      </c>
      <c r="T125" s="9">
        <f t="shared" ca="1" si="100"/>
        <v>9183901.6850485001</v>
      </c>
      <c r="W125" s="407"/>
      <c r="X125" t="s">
        <v>407</v>
      </c>
      <c r="AA125" s="6">
        <v>154676.321</v>
      </c>
      <c r="AB125" s="6">
        <f>AA129</f>
        <v>165916.321</v>
      </c>
      <c r="AC125" s="6">
        <f>AB129</f>
        <v>223586.321</v>
      </c>
      <c r="AD125" s="6">
        <f>AC129</f>
        <v>190861.321</v>
      </c>
      <c r="AE125" s="6">
        <f>AD129</f>
        <v>202761.321</v>
      </c>
    </row>
    <row r="126" spans="2:38" x14ac:dyDescent="0.3"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W126" s="407"/>
      <c r="X126" t="s">
        <v>472</v>
      </c>
      <c r="AA126">
        <f>-5200-6900-3200</f>
        <v>-15300</v>
      </c>
      <c r="AB126">
        <f>-8000-3000-1200</f>
        <v>-12200</v>
      </c>
      <c r="AC126">
        <f>-6900-7700</f>
        <v>-14600</v>
      </c>
      <c r="AD126">
        <f>-2100-9600</f>
        <v>-11700</v>
      </c>
      <c r="AE126">
        <f>-6100-2000-3500</f>
        <v>-11600</v>
      </c>
    </row>
    <row r="127" spans="2:38" x14ac:dyDescent="0.3">
      <c r="B127" s="3" t="s">
        <v>35</v>
      </c>
      <c r="G127" s="353">
        <v>5787891</v>
      </c>
      <c r="H127" s="353">
        <v>5982364</v>
      </c>
      <c r="I127" s="353">
        <v>6165658</v>
      </c>
      <c r="J127" s="353">
        <v>6691938</v>
      </c>
      <c r="K127" s="353">
        <v>7133287</v>
      </c>
      <c r="L127" s="353">
        <v>7006350</v>
      </c>
      <c r="M127" s="353">
        <v>7354107</v>
      </c>
      <c r="N127" s="353">
        <v>7933024</v>
      </c>
      <c r="O127" s="353">
        <v>8660950</v>
      </c>
      <c r="P127" s="7">
        <f ca="1">P125+P113</f>
        <v>9323570.8124548588</v>
      </c>
      <c r="Q127" s="7">
        <f t="shared" ref="Q127:T127" ca="1" si="101">Q125+Q113</f>
        <v>10128874.807406407</v>
      </c>
      <c r="R127" s="7">
        <f t="shared" ca="1" si="101"/>
        <v>10942337.406003542</v>
      </c>
      <c r="S127" s="7">
        <f t="shared" ca="1" si="101"/>
        <v>11910310.821138591</v>
      </c>
      <c r="T127" s="7">
        <f t="shared" ca="1" si="101"/>
        <v>12995737.532740697</v>
      </c>
      <c r="W127" s="415"/>
      <c r="X127" t="s">
        <v>471</v>
      </c>
      <c r="AA127">
        <f>-1100*31.6</f>
        <v>-34760</v>
      </c>
      <c r="AC127">
        <f>-1250*31.7</f>
        <v>-39625</v>
      </c>
      <c r="AE127">
        <f>-1000*31.8</f>
        <v>-31800</v>
      </c>
    </row>
    <row r="128" spans="2:38" x14ac:dyDescent="0.3"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W128" s="407"/>
      <c r="X128" t="s">
        <v>469</v>
      </c>
      <c r="AA128" s="6">
        <f>SUM(Model!AA131:AA136)</f>
        <v>61300</v>
      </c>
      <c r="AB128" s="6">
        <f>SUM(Model!AB131:AB136)</f>
        <v>69870</v>
      </c>
      <c r="AC128" s="6">
        <f>SUM(Model!AC131:AC136)</f>
        <v>21500</v>
      </c>
      <c r="AD128" s="6">
        <f>SUM(Model!AD131:AD136)</f>
        <v>23600</v>
      </c>
      <c r="AE128" s="6">
        <f>SUM(Model!AE131:AE136)</f>
        <v>40800</v>
      </c>
    </row>
    <row r="129" spans="1:39" x14ac:dyDescent="0.3">
      <c r="B129" t="s">
        <v>36</v>
      </c>
      <c r="G129" s="6">
        <f t="shared" ref="G129:T129" si="102">G96-G127</f>
        <v>0</v>
      </c>
      <c r="H129" s="6">
        <f t="shared" si="102"/>
        <v>0</v>
      </c>
      <c r="I129" s="6">
        <f t="shared" si="102"/>
        <v>0</v>
      </c>
      <c r="J129" s="6">
        <f t="shared" si="102"/>
        <v>0</v>
      </c>
      <c r="K129" s="6">
        <f t="shared" si="102"/>
        <v>0</v>
      </c>
      <c r="L129" s="6">
        <f t="shared" si="102"/>
        <v>0</v>
      </c>
      <c r="M129" s="6">
        <f t="shared" si="102"/>
        <v>0</v>
      </c>
      <c r="N129" s="6">
        <f t="shared" si="102"/>
        <v>0</v>
      </c>
      <c r="O129" s="6">
        <f t="shared" si="102"/>
        <v>0</v>
      </c>
      <c r="P129" s="6">
        <f t="shared" ca="1" si="102"/>
        <v>3.3713877201080322E-7</v>
      </c>
      <c r="Q129" s="6">
        <f t="shared" ca="1" si="102"/>
        <v>4.6193599700927734E-7</v>
      </c>
      <c r="R129" s="6">
        <f t="shared" ca="1" si="102"/>
        <v>2.3469328880310059E-7</v>
      </c>
      <c r="S129" s="6">
        <f t="shared" ca="1" si="102"/>
        <v>4.2654573917388916E-7</v>
      </c>
      <c r="T129" s="6">
        <f t="shared" ca="1" si="102"/>
        <v>2.3096799850463867E-7</v>
      </c>
      <c r="W129" s="407"/>
      <c r="X129" s="3" t="s">
        <v>470</v>
      </c>
      <c r="Y129" s="3"/>
      <c r="Z129" s="3"/>
      <c r="AA129" s="7">
        <f>SUM(AA125:AA128)</f>
        <v>165916.321</v>
      </c>
      <c r="AB129" s="7">
        <f>SUM(AB125:AB128)</f>
        <v>223586.321</v>
      </c>
      <c r="AC129" s="7">
        <f>SUM(AC125:AC128)</f>
        <v>190861.321</v>
      </c>
      <c r="AD129" s="7">
        <f>SUM(AD125:AD128)</f>
        <v>202761.321</v>
      </c>
      <c r="AE129" s="7">
        <f>SUM(AE125:AE128)</f>
        <v>200161.321</v>
      </c>
    </row>
    <row r="130" spans="1:39" x14ac:dyDescent="0.3">
      <c r="W130" s="407"/>
    </row>
    <row r="131" spans="1:39" x14ac:dyDescent="0.3">
      <c r="A131" t="s">
        <v>90</v>
      </c>
      <c r="B131" s="369" t="s">
        <v>94</v>
      </c>
      <c r="C131" s="368"/>
      <c r="D131" s="368"/>
      <c r="E131" s="368"/>
      <c r="F131" s="368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69"/>
      <c r="W131" s="407"/>
      <c r="X131" t="s">
        <v>478</v>
      </c>
      <c r="AA131" s="6">
        <v>10400</v>
      </c>
      <c r="AB131" s="6">
        <v>6300</v>
      </c>
      <c r="AC131" s="6">
        <v>5600</v>
      </c>
      <c r="AD131" s="6">
        <v>11400</v>
      </c>
      <c r="AE131" s="6">
        <v>8400</v>
      </c>
    </row>
    <row r="132" spans="1:39" x14ac:dyDescent="0.3">
      <c r="B132" s="4" t="s">
        <v>8</v>
      </c>
      <c r="G132" s="74">
        <f t="shared" ref="G132:U132" si="103">G80</f>
        <v>45382</v>
      </c>
      <c r="H132" s="74">
        <f t="shared" si="103"/>
        <v>45473</v>
      </c>
      <c r="I132" s="74">
        <f t="shared" si="103"/>
        <v>45565</v>
      </c>
      <c r="J132" s="74">
        <f t="shared" si="103"/>
        <v>45656</v>
      </c>
      <c r="K132" s="74">
        <f t="shared" si="103"/>
        <v>45746</v>
      </c>
      <c r="L132" s="74">
        <f t="shared" si="103"/>
        <v>45838</v>
      </c>
      <c r="M132" s="74">
        <f t="shared" si="103"/>
        <v>45930</v>
      </c>
      <c r="N132" s="74">
        <f t="shared" si="103"/>
        <v>46021</v>
      </c>
      <c r="O132" s="74">
        <f t="shared" si="103"/>
        <v>46111</v>
      </c>
      <c r="P132" s="74">
        <f t="shared" si="103"/>
        <v>46203</v>
      </c>
      <c r="Q132" s="74">
        <f t="shared" si="103"/>
        <v>46295</v>
      </c>
      <c r="R132" s="74">
        <f t="shared" si="103"/>
        <v>46386</v>
      </c>
      <c r="S132" s="74">
        <f t="shared" si="103"/>
        <v>46476</v>
      </c>
      <c r="T132" s="74">
        <f t="shared" si="103"/>
        <v>46568</v>
      </c>
      <c r="U132" s="345" t="str">
        <f t="shared" si="103"/>
        <v>Term</v>
      </c>
      <c r="V132" s="170"/>
      <c r="W132" s="416"/>
      <c r="AA132" s="6">
        <v>7500</v>
      </c>
      <c r="AB132" s="6">
        <v>8000</v>
      </c>
      <c r="AC132" s="6">
        <v>10200</v>
      </c>
      <c r="AD132" s="6">
        <v>12200</v>
      </c>
      <c r="AE132" s="6">
        <v>7900</v>
      </c>
    </row>
    <row r="133" spans="1:39" x14ac:dyDescent="0.3">
      <c r="B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416"/>
      <c r="AA133" s="6">
        <v>3500</v>
      </c>
      <c r="AB133" s="6">
        <v>10100</v>
      </c>
      <c r="AC133" s="6">
        <v>5700</v>
      </c>
      <c r="AD133" s="6"/>
      <c r="AE133" s="6">
        <v>13100</v>
      </c>
    </row>
    <row r="134" spans="1:39" x14ac:dyDescent="0.3">
      <c r="W134" s="407"/>
      <c r="AA134" s="6">
        <v>6100</v>
      </c>
      <c r="AB134" s="6">
        <v>8900</v>
      </c>
      <c r="AC134" s="6"/>
      <c r="AD134" s="6"/>
      <c r="AE134" s="6">
        <v>11400</v>
      </c>
    </row>
    <row r="135" spans="1:39" x14ac:dyDescent="0.3">
      <c r="B135" s="3" t="s">
        <v>208</v>
      </c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W135" s="407"/>
      <c r="AA135" s="6">
        <v>2000</v>
      </c>
      <c r="AB135" s="6">
        <f>400*31.8</f>
        <v>12720</v>
      </c>
      <c r="AC135" s="6"/>
      <c r="AD135" s="6"/>
      <c r="AE135" s="6"/>
    </row>
    <row r="136" spans="1:39" x14ac:dyDescent="0.3">
      <c r="B136" s="1" t="s">
        <v>197</v>
      </c>
      <c r="G136" s="351">
        <v>53337.96</v>
      </c>
      <c r="H136" s="351">
        <v>101026.5</v>
      </c>
      <c r="I136" s="351">
        <v>151938.4</v>
      </c>
      <c r="J136" s="351">
        <v>225799.86000000002</v>
      </c>
      <c r="K136" s="351">
        <v>184635.88</v>
      </c>
      <c r="L136" s="351">
        <v>224110.07999999999</v>
      </c>
      <c r="M136" s="351">
        <v>227681.14</v>
      </c>
      <c r="N136" s="351">
        <v>292905.2</v>
      </c>
      <c r="O136" s="351">
        <v>283525.75</v>
      </c>
      <c r="P136" s="6">
        <f t="shared" ref="P136:P146" si="104">O136*(1+P149)</f>
        <v>326054.61249999999</v>
      </c>
      <c r="Q136" s="6">
        <f t="shared" ref="Q136:T136" si="105">P136*(1+Q149)</f>
        <v>377408.21396874997</v>
      </c>
      <c r="R136" s="6">
        <f t="shared" si="105"/>
        <v>437793.52820374991</v>
      </c>
      <c r="S136" s="6">
        <f t="shared" si="105"/>
        <v>508934.97653685929</v>
      </c>
      <c r="T136" s="6">
        <f t="shared" si="105"/>
        <v>592909.24766544113</v>
      </c>
      <c r="U136" s="6">
        <f t="shared" ref="U136" si="106">T136*(1+U149)</f>
        <v>690739.27353023889</v>
      </c>
      <c r="V136" s="6"/>
      <c r="W136" s="417"/>
      <c r="AA136" s="6">
        <f>1000*31.8</f>
        <v>31800</v>
      </c>
      <c r="AB136" s="6">
        <f>750*31.8</f>
        <v>23850</v>
      </c>
      <c r="AC136" s="6"/>
      <c r="AD136" s="6"/>
      <c r="AE136" s="6"/>
    </row>
    <row r="137" spans="1:39" x14ac:dyDescent="0.3">
      <c r="B137" s="1" t="s">
        <v>198</v>
      </c>
      <c r="G137" s="351">
        <v>219278.28</v>
      </c>
      <c r="H137" s="351">
        <v>235728.49999999997</v>
      </c>
      <c r="I137" s="351">
        <v>243101.44</v>
      </c>
      <c r="J137" s="351">
        <v>295276.74000000005</v>
      </c>
      <c r="K137" s="351">
        <v>302131.44</v>
      </c>
      <c r="L137" s="351">
        <v>336165.12</v>
      </c>
      <c r="M137" s="351">
        <v>366269.66</v>
      </c>
      <c r="N137" s="351">
        <v>366131.5</v>
      </c>
      <c r="O137" s="351">
        <v>408277.07999999996</v>
      </c>
      <c r="P137" s="6">
        <f t="shared" si="104"/>
        <v>455228.94419999997</v>
      </c>
      <c r="Q137" s="6">
        <f t="shared" ref="Q137:U146" si="107">P137*(1+Q150)</f>
        <v>509856.41750400001</v>
      </c>
      <c r="R137" s="6">
        <f t="shared" si="107"/>
        <v>572313.82864824007</v>
      </c>
      <c r="S137" s="6">
        <f t="shared" si="107"/>
        <v>643853.05722927011</v>
      </c>
      <c r="T137" s="6">
        <f t="shared" si="107"/>
        <v>725944.32202600199</v>
      </c>
      <c r="U137" s="6">
        <f t="shared" si="107"/>
        <v>818502.22308431717</v>
      </c>
      <c r="V137" s="6"/>
      <c r="W137" s="407"/>
      <c r="AA137" s="7">
        <f>SUM(AA131:AA136)</f>
        <v>61300</v>
      </c>
      <c r="AB137" s="7">
        <f>SUM(AB131:AB136)</f>
        <v>69870</v>
      </c>
      <c r="AC137" s="7">
        <f>SUM(AC131:AC136)</f>
        <v>21500</v>
      </c>
      <c r="AD137" s="7">
        <f>SUM(AD131:AD136)</f>
        <v>23600</v>
      </c>
      <c r="AE137" s="7">
        <f>SUM(AE131:AE136)</f>
        <v>40800</v>
      </c>
    </row>
    <row r="138" spans="1:39" x14ac:dyDescent="0.3">
      <c r="B138" s="1" t="s">
        <v>199</v>
      </c>
      <c r="G138" s="351">
        <v>112602.36</v>
      </c>
      <c r="H138" s="351">
        <v>114496.70000000001</v>
      </c>
      <c r="I138" s="351">
        <v>129147.64000000001</v>
      </c>
      <c r="J138" s="351">
        <v>121584.54000000001</v>
      </c>
      <c r="K138" s="351">
        <v>125888.09999999999</v>
      </c>
      <c r="L138" s="351">
        <v>130730.88000000002</v>
      </c>
      <c r="M138" s="351">
        <v>138588.52000000002</v>
      </c>
      <c r="N138" s="351">
        <v>146452.6</v>
      </c>
      <c r="O138" s="351">
        <v>147433.39000000001</v>
      </c>
      <c r="P138" s="6">
        <f t="shared" si="104"/>
        <v>162176.72900000002</v>
      </c>
      <c r="Q138" s="6">
        <f t="shared" si="107"/>
        <v>179205.28554500002</v>
      </c>
      <c r="R138" s="6">
        <f t="shared" si="107"/>
        <v>198469.85374108751</v>
      </c>
      <c r="S138" s="6">
        <f t="shared" si="107"/>
        <v>220301.53765260716</v>
      </c>
      <c r="T138" s="6">
        <f t="shared" si="107"/>
        <v>245085.46063852549</v>
      </c>
      <c r="U138" s="6">
        <f t="shared" si="107"/>
        <v>272657.57496035961</v>
      </c>
      <c r="V138" s="6"/>
      <c r="W138" s="407"/>
    </row>
    <row r="139" spans="1:39" x14ac:dyDescent="0.3">
      <c r="B139" s="1" t="s">
        <v>200</v>
      </c>
      <c r="G139" s="351">
        <v>53337.96</v>
      </c>
      <c r="H139" s="351">
        <v>60615.899999999994</v>
      </c>
      <c r="I139" s="351">
        <v>60775.360000000001</v>
      </c>
      <c r="J139" s="351">
        <v>60792.270000000004</v>
      </c>
      <c r="K139" s="351">
        <v>58747.780000000006</v>
      </c>
      <c r="L139" s="351">
        <v>65365.44000000001</v>
      </c>
      <c r="M139" s="351">
        <v>69294.260000000009</v>
      </c>
      <c r="N139" s="351">
        <v>62765.399999999994</v>
      </c>
      <c r="O139" s="351">
        <v>79387.210000000006</v>
      </c>
      <c r="P139" s="6">
        <f t="shared" si="104"/>
        <v>83356.570500000016</v>
      </c>
      <c r="Q139" s="6">
        <f t="shared" si="107"/>
        <v>87691.112166000021</v>
      </c>
      <c r="R139" s="6">
        <f t="shared" si="107"/>
        <v>92338.741110798015</v>
      </c>
      <c r="S139" s="6">
        <f t="shared" si="107"/>
        <v>97325.033130781114</v>
      </c>
      <c r="T139" s="6">
        <f t="shared" si="107"/>
        <v>102677.90995297406</v>
      </c>
      <c r="U139" s="6">
        <f t="shared" si="107"/>
        <v>108325.19500038763</v>
      </c>
      <c r="V139" s="6"/>
      <c r="W139" s="407"/>
      <c r="X139" s="1" t="s">
        <v>460</v>
      </c>
      <c r="Y139" s="6">
        <v>10020.132</v>
      </c>
      <c r="Z139" s="6">
        <v>9029.7649999999994</v>
      </c>
      <c r="AA139" s="6">
        <v>26459.677</v>
      </c>
      <c r="AB139" s="6">
        <v>31824.385999999999</v>
      </c>
      <c r="AC139" s="6">
        <v>38726.925000000003</v>
      </c>
      <c r="AD139" s="6">
        <v>35136</v>
      </c>
      <c r="AE139" s="6">
        <v>37795.500999999997</v>
      </c>
      <c r="AF139" s="6">
        <v>39834.495999999999</v>
      </c>
      <c r="AG139" s="6">
        <v>40991.671999999999</v>
      </c>
      <c r="AL139" t="s">
        <v>465</v>
      </c>
      <c r="AM139" s="227" t="s">
        <v>480</v>
      </c>
    </row>
    <row r="140" spans="1:39" x14ac:dyDescent="0.3">
      <c r="B140" s="1" t="s">
        <v>201</v>
      </c>
      <c r="G140" s="351">
        <v>47411.520000000004</v>
      </c>
      <c r="H140" s="351">
        <v>53880.800000000003</v>
      </c>
      <c r="I140" s="351">
        <v>53178.44</v>
      </c>
      <c r="J140" s="351">
        <v>52107.659999999996</v>
      </c>
      <c r="K140" s="351">
        <v>58747.780000000006</v>
      </c>
      <c r="L140" s="351">
        <v>65365.44000000001</v>
      </c>
      <c r="M140" s="351">
        <v>69294.260000000009</v>
      </c>
      <c r="N140" s="351">
        <v>62765.399999999994</v>
      </c>
      <c r="O140" s="351">
        <v>79387.210000000006</v>
      </c>
      <c r="P140" s="6">
        <f t="shared" si="104"/>
        <v>82562.698400000008</v>
      </c>
      <c r="Q140" s="6">
        <f t="shared" si="107"/>
        <v>86030.331732800012</v>
      </c>
      <c r="R140" s="6">
        <f t="shared" si="107"/>
        <v>89729.635997310412</v>
      </c>
      <c r="S140" s="6">
        <f t="shared" si="107"/>
        <v>93677.739981192077</v>
      </c>
      <c r="T140" s="6">
        <f t="shared" si="107"/>
        <v>97893.238280345715</v>
      </c>
      <c r="U140" s="6">
        <f t="shared" si="107"/>
        <v>102298.43400296126</v>
      </c>
      <c r="V140" s="6"/>
      <c r="W140" s="407"/>
      <c r="X140" s="1" t="s">
        <v>454</v>
      </c>
      <c r="Y140" s="6">
        <v>130434.868</v>
      </c>
      <c r="Z140" s="6">
        <v>138956.23499999999</v>
      </c>
      <c r="AA140" s="6">
        <v>127173.323</v>
      </c>
      <c r="AB140" s="6">
        <v>145408.614</v>
      </c>
      <c r="AC140" s="6">
        <v>144876.07500000001</v>
      </c>
      <c r="AD140" s="6">
        <v>128733</v>
      </c>
      <c r="AE140" s="6">
        <v>94394.499000000011</v>
      </c>
      <c r="AF140" s="6">
        <v>118147.504</v>
      </c>
      <c r="AG140" s="6">
        <v>113289.32800000001</v>
      </c>
    </row>
    <row r="141" spans="1:39" x14ac:dyDescent="0.3">
      <c r="B141" s="1" t="s">
        <v>202</v>
      </c>
      <c r="G141" s="351">
        <v>29632.2</v>
      </c>
      <c r="H141" s="351">
        <v>33675.5</v>
      </c>
      <c r="I141" s="351">
        <v>30387.68</v>
      </c>
      <c r="J141" s="351">
        <v>26053.829999999998</v>
      </c>
      <c r="K141" s="351">
        <v>25177.62</v>
      </c>
      <c r="L141" s="351">
        <v>28013.759999999998</v>
      </c>
      <c r="M141" s="351">
        <v>29697.539999999997</v>
      </c>
      <c r="N141" s="351">
        <v>31382.699999999997</v>
      </c>
      <c r="O141" s="351">
        <v>34023.089999999997</v>
      </c>
      <c r="P141" s="6">
        <f t="shared" si="104"/>
        <v>35043.782699999996</v>
      </c>
      <c r="Q141" s="6">
        <f t="shared" si="107"/>
        <v>36165.183746399998</v>
      </c>
      <c r="R141" s="6">
        <f t="shared" si="107"/>
        <v>37358.634810031195</v>
      </c>
      <c r="S141" s="6">
        <f t="shared" si="107"/>
        <v>38628.828393572257</v>
      </c>
      <c r="T141" s="6">
        <f t="shared" si="107"/>
        <v>39594.549103411562</v>
      </c>
      <c r="U141" s="6">
        <f t="shared" si="107"/>
        <v>40584.412830996851</v>
      </c>
      <c r="V141" s="6"/>
      <c r="W141" s="407"/>
      <c r="X141" s="1" t="s">
        <v>23</v>
      </c>
      <c r="Y141" s="6">
        <v>140455</v>
      </c>
      <c r="Z141" s="6">
        <v>147986</v>
      </c>
      <c r="AA141" s="6">
        <v>153633</v>
      </c>
      <c r="AB141" s="6">
        <v>177233</v>
      </c>
      <c r="AC141" s="6">
        <v>183603</v>
      </c>
      <c r="AD141" s="6">
        <v>163869</v>
      </c>
      <c r="AE141" s="6">
        <v>162190</v>
      </c>
      <c r="AF141" s="6">
        <v>157982</v>
      </c>
      <c r="AG141" s="6">
        <v>154281</v>
      </c>
    </row>
    <row r="142" spans="1:39" x14ac:dyDescent="0.3">
      <c r="B142" s="1" t="s">
        <v>203</v>
      </c>
      <c r="G142" s="351">
        <v>23705.760000000002</v>
      </c>
      <c r="H142" s="351">
        <v>20205.3</v>
      </c>
      <c r="I142" s="351">
        <v>30387.68</v>
      </c>
      <c r="J142" s="351">
        <v>34738.44</v>
      </c>
      <c r="K142" s="351">
        <v>33570.160000000003</v>
      </c>
      <c r="L142" s="351">
        <v>28013.759999999998</v>
      </c>
      <c r="M142" s="351">
        <v>39596.720000000001</v>
      </c>
      <c r="N142" s="351">
        <v>41843.599999999999</v>
      </c>
      <c r="O142" s="351">
        <v>45364.12</v>
      </c>
      <c r="P142" s="6">
        <f t="shared" si="104"/>
        <v>46498.222999999998</v>
      </c>
      <c r="Q142" s="6">
        <f t="shared" si="107"/>
        <v>47753.675020999995</v>
      </c>
      <c r="R142" s="6">
        <f t="shared" si="107"/>
        <v>49090.777921588</v>
      </c>
      <c r="S142" s="6">
        <f t="shared" si="107"/>
        <v>50514.410481314051</v>
      </c>
      <c r="T142" s="6">
        <f t="shared" si="107"/>
        <v>52029.842795753473</v>
      </c>
      <c r="U142" s="6">
        <f t="shared" si="107"/>
        <v>53642.76792242183</v>
      </c>
      <c r="V142" s="6"/>
      <c r="W142" s="407"/>
    </row>
    <row r="143" spans="1:39" x14ac:dyDescent="0.3">
      <c r="B143" s="1" t="s">
        <v>204</v>
      </c>
      <c r="G143" s="351">
        <v>5926.4400000000005</v>
      </c>
      <c r="H143" s="351">
        <v>6735.1</v>
      </c>
      <c r="I143" s="351">
        <v>7596.92</v>
      </c>
      <c r="J143" s="351">
        <v>8684.61</v>
      </c>
      <c r="K143" s="351">
        <v>8392.5400000000009</v>
      </c>
      <c r="L143" s="351">
        <v>9337.92</v>
      </c>
      <c r="M143" s="351">
        <v>9899.18</v>
      </c>
      <c r="N143" s="351">
        <v>10460.9</v>
      </c>
      <c r="O143" s="351">
        <v>11341.03</v>
      </c>
      <c r="P143" s="6">
        <f t="shared" si="104"/>
        <v>11567.850600000002</v>
      </c>
      <c r="Q143" s="6">
        <f t="shared" si="107"/>
        <v>11822.343313200003</v>
      </c>
      <c r="R143" s="6">
        <f t="shared" si="107"/>
        <v>12094.257209403602</v>
      </c>
      <c r="S143" s="6">
        <f t="shared" si="107"/>
        <v>12384.519382429289</v>
      </c>
      <c r="T143" s="6">
        <f t="shared" si="107"/>
        <v>12694.132366990021</v>
      </c>
      <c r="U143" s="6">
        <f t="shared" si="107"/>
        <v>13011.48567616477</v>
      </c>
      <c r="V143" s="6"/>
      <c r="W143" s="407"/>
      <c r="X143" s="84" t="s">
        <v>479</v>
      </c>
      <c r="Y143" s="65">
        <f>Y140/G4</f>
        <v>0.22008974696445083</v>
      </c>
      <c r="Z143" s="65">
        <f t="shared" ref="Z143:AG143" si="108">Z140/H4</f>
        <v>0.20631651348903504</v>
      </c>
      <c r="AA143" s="65">
        <f t="shared" si="108"/>
        <v>0.16740116126008961</v>
      </c>
      <c r="AB143" s="65">
        <f t="shared" si="108"/>
        <v>0.16743252028588504</v>
      </c>
      <c r="AC143" s="65">
        <f t="shared" si="108"/>
        <v>0.1726248251423288</v>
      </c>
      <c r="AD143" s="65">
        <f t="shared" si="108"/>
        <v>0.13786046571399199</v>
      </c>
      <c r="AE143" s="65">
        <f t="shared" si="108"/>
        <v>9.5355876951424265E-2</v>
      </c>
      <c r="AF143" s="65">
        <f t="shared" si="108"/>
        <v>0.11294200690189181</v>
      </c>
      <c r="AG143" s="65">
        <f t="shared" si="108"/>
        <v>9.9893332439822499E-2</v>
      </c>
      <c r="AH143" s="7">
        <f>AH144*P4</f>
        <v>118597.26183337503</v>
      </c>
      <c r="AI143" s="7">
        <f t="shared" ref="AI143:AL143" si="109">AI144*Q4</f>
        <v>127878.69114436264</v>
      </c>
      <c r="AJ143" s="7">
        <f t="shared" si="109"/>
        <v>138278.97089935426</v>
      </c>
      <c r="AK143" s="7">
        <f t="shared" si="109"/>
        <v>154227.37499661418</v>
      </c>
      <c r="AL143" s="7">
        <f t="shared" si="109"/>
        <v>172592.31380200532</v>
      </c>
    </row>
    <row r="144" spans="1:39" x14ac:dyDescent="0.3">
      <c r="B144" s="1" t="s">
        <v>205</v>
      </c>
      <c r="G144" s="351">
        <v>17779.32</v>
      </c>
      <c r="H144" s="351">
        <v>13470.2</v>
      </c>
      <c r="I144" s="351">
        <v>15193.84</v>
      </c>
      <c r="J144" s="351">
        <v>17369.22</v>
      </c>
      <c r="K144" s="351">
        <v>16785.080000000002</v>
      </c>
      <c r="L144" s="351">
        <v>18675.84</v>
      </c>
      <c r="M144" s="351">
        <v>9899.18</v>
      </c>
      <c r="N144" s="351">
        <v>10460.9</v>
      </c>
      <c r="O144" s="351">
        <v>11341.03</v>
      </c>
      <c r="P144" s="6">
        <f t="shared" si="104"/>
        <v>11482.792875000001</v>
      </c>
      <c r="Q144" s="6">
        <f t="shared" si="107"/>
        <v>11649.293371687501</v>
      </c>
      <c r="R144" s="6">
        <f t="shared" si="107"/>
        <v>11829.857418948659</v>
      </c>
      <c r="S144" s="6">
        <f t="shared" si="107"/>
        <v>12025.050066361311</v>
      </c>
      <c r="T144" s="6">
        <f t="shared" si="107"/>
        <v>12235.488442522636</v>
      </c>
      <c r="U144" s="6">
        <f t="shared" si="107"/>
        <v>12449.609490266783</v>
      </c>
      <c r="V144" s="6"/>
      <c r="W144" s="414"/>
      <c r="AH144" s="65">
        <v>9.5000000000000001E-2</v>
      </c>
      <c r="AI144" s="65">
        <v>9.2499999999999999E-2</v>
      </c>
      <c r="AJ144" s="65">
        <v>0.09</v>
      </c>
      <c r="AK144" s="65">
        <v>0.09</v>
      </c>
      <c r="AL144" s="65">
        <v>0.09</v>
      </c>
    </row>
    <row r="145" spans="2:41" x14ac:dyDescent="0.3">
      <c r="B145" s="1" t="s">
        <v>206</v>
      </c>
      <c r="G145" s="351">
        <v>23705.760000000002</v>
      </c>
      <c r="H145" s="351">
        <v>26940.400000000001</v>
      </c>
      <c r="I145" s="351">
        <v>30387.68</v>
      </c>
      <c r="J145" s="351">
        <v>26053.829999999998</v>
      </c>
      <c r="K145" s="351">
        <v>25177.62</v>
      </c>
      <c r="L145" s="351">
        <v>28013.759999999998</v>
      </c>
      <c r="M145" s="351">
        <v>29697.539999999997</v>
      </c>
      <c r="N145" s="351">
        <v>20921.8</v>
      </c>
      <c r="O145" s="351">
        <v>22682.06</v>
      </c>
      <c r="P145" s="6">
        <f t="shared" si="104"/>
        <v>22965.585750000002</v>
      </c>
      <c r="Q145" s="6">
        <f t="shared" si="107"/>
        <v>23298.586743375003</v>
      </c>
      <c r="R145" s="6">
        <f t="shared" si="107"/>
        <v>23659.714837897318</v>
      </c>
      <c r="S145" s="6">
        <f t="shared" si="107"/>
        <v>24050.100132722622</v>
      </c>
      <c r="T145" s="6">
        <f t="shared" si="107"/>
        <v>24470.976885045271</v>
      </c>
      <c r="U145" s="6">
        <f t="shared" si="107"/>
        <v>24899.218980533566</v>
      </c>
      <c r="V145" s="6"/>
      <c r="W145" s="414" t="s">
        <v>481</v>
      </c>
    </row>
    <row r="146" spans="2:41" x14ac:dyDescent="0.3">
      <c r="B146" s="1" t="s">
        <v>207</v>
      </c>
      <c r="G146" s="351">
        <v>5926.4400000000005</v>
      </c>
      <c r="H146" s="351">
        <v>6735.1</v>
      </c>
      <c r="I146" s="351">
        <v>7596.92</v>
      </c>
      <c r="J146" s="351">
        <v>0</v>
      </c>
      <c r="K146" s="351">
        <v>0</v>
      </c>
      <c r="L146" s="351">
        <v>0</v>
      </c>
      <c r="M146" s="351">
        <v>0</v>
      </c>
      <c r="N146" s="351">
        <v>0</v>
      </c>
      <c r="O146" s="351">
        <v>11341.03</v>
      </c>
      <c r="P146" s="6">
        <f t="shared" si="104"/>
        <v>11454.4403</v>
      </c>
      <c r="Q146" s="6">
        <f t="shared" si="107"/>
        <v>11591.8935836</v>
      </c>
      <c r="R146" s="6">
        <f t="shared" si="107"/>
        <v>11754.180093770401</v>
      </c>
      <c r="S146" s="6">
        <f t="shared" si="107"/>
        <v>11942.246975270727</v>
      </c>
      <c r="T146" s="6">
        <f t="shared" si="107"/>
        <v>12157.2074208256</v>
      </c>
      <c r="U146" s="6">
        <f t="shared" si="107"/>
        <v>12388.194361821284</v>
      </c>
      <c r="V146" s="6"/>
      <c r="W146" s="407"/>
      <c r="X146" s="1" t="s">
        <v>18</v>
      </c>
      <c r="AA146" s="6">
        <v>181525</v>
      </c>
      <c r="AB146" s="6">
        <v>194600</v>
      </c>
      <c r="AC146" s="6">
        <v>207456</v>
      </c>
      <c r="AD146" s="6">
        <v>220419</v>
      </c>
      <c r="AE146" s="6">
        <v>233394</v>
      </c>
      <c r="AF146" s="6">
        <v>246672</v>
      </c>
      <c r="AG146" s="6">
        <v>259326</v>
      </c>
      <c r="AH146" s="6">
        <v>285258</v>
      </c>
      <c r="AI146" s="6">
        <v>311190</v>
      </c>
      <c r="AJ146" s="7">
        <f ca="1">AI146+(7*25930)+AJ147</f>
        <v>346673.50312804792</v>
      </c>
      <c r="AK146" s="7">
        <f ca="1">AJ146+(7.5*25930)+AK147</f>
        <v>379728.21298819839</v>
      </c>
      <c r="AL146" s="7">
        <f ca="1">AK146+(8*25930)+AL147</f>
        <v>408487.2866719247</v>
      </c>
      <c r="AM146" s="7">
        <f ca="1">AL146+(8.5*25930)+AM147</f>
        <v>430657.26871648431</v>
      </c>
      <c r="AN146" s="7">
        <f ca="1">AM146+(9*25930)+AN147</f>
        <v>443741.9526877976</v>
      </c>
    </row>
    <row r="147" spans="2:41" x14ac:dyDescent="0.3">
      <c r="B147" s="1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W147" s="407"/>
      <c r="X147" s="1" t="s">
        <v>79</v>
      </c>
      <c r="AA147" s="6">
        <v>-77796</v>
      </c>
      <c r="AB147" s="6">
        <v>-90762</v>
      </c>
      <c r="AC147" s="6">
        <v>-90763</v>
      </c>
      <c r="AD147" s="6">
        <v>-103734</v>
      </c>
      <c r="AE147" s="6">
        <v>-103722</v>
      </c>
      <c r="AF147" s="6">
        <v>-116697</v>
      </c>
      <c r="AG147" s="6">
        <v>-116697</v>
      </c>
      <c r="AH147" s="6">
        <v>-129663</v>
      </c>
      <c r="AI147" s="6">
        <v>-129663</v>
      </c>
      <c r="AJ147" s="6">
        <f ca="1">P66</f>
        <v>-146026.49687195205</v>
      </c>
      <c r="AK147" s="6">
        <f t="shared" ref="AK147:AN147" ca="1" si="110">Q66</f>
        <v>-161420.29013984953</v>
      </c>
      <c r="AL147" s="6">
        <f t="shared" ca="1" si="110"/>
        <v>-178680.92631627369</v>
      </c>
      <c r="AM147" s="6">
        <f t="shared" ca="1" si="110"/>
        <v>-198235.0179554403</v>
      </c>
      <c r="AN147" s="6">
        <f t="shared" ca="1" si="110"/>
        <v>-220285.31602868668</v>
      </c>
    </row>
    <row r="148" spans="2:41" x14ac:dyDescent="0.3">
      <c r="B148" s="87" t="s">
        <v>235</v>
      </c>
      <c r="G148" s="6"/>
      <c r="H148" s="6"/>
      <c r="I148" s="6"/>
      <c r="J148" s="6"/>
      <c r="K148" s="6"/>
      <c r="L148" s="6"/>
      <c r="M148" s="6"/>
      <c r="N148" s="6"/>
      <c r="O148" s="6"/>
      <c r="W148" s="407"/>
    </row>
    <row r="149" spans="2:41" x14ac:dyDescent="0.3">
      <c r="B149" s="1" t="s">
        <v>197</v>
      </c>
      <c r="G149" s="7"/>
      <c r="H149" s="30">
        <f t="shared" ref="H149:H159" si="111">(H136-G136)/G136</f>
        <v>0.89408256333763048</v>
      </c>
      <c r="I149" s="30">
        <f t="shared" ref="I149:O149" si="112">(I136-H136)/H136</f>
        <v>0.50394599436781429</v>
      </c>
      <c r="J149" s="30">
        <f t="shared" si="112"/>
        <v>0.48612766752841957</v>
      </c>
      <c r="K149" s="30">
        <f t="shared" si="112"/>
        <v>-0.18230294739775307</v>
      </c>
      <c r="L149" s="30">
        <f t="shared" si="112"/>
        <v>0.21379484854189762</v>
      </c>
      <c r="M149" s="30">
        <f t="shared" si="112"/>
        <v>1.5934401522680403E-2</v>
      </c>
      <c r="N149" s="30">
        <f t="shared" si="112"/>
        <v>0.28647107090205187</v>
      </c>
      <c r="O149" s="30">
        <f t="shared" si="112"/>
        <v>-3.2022135489571411E-2</v>
      </c>
      <c r="P149" s="162">
        <v>0.15</v>
      </c>
      <c r="Q149" s="86">
        <f>P149+0.75%</f>
        <v>0.1575</v>
      </c>
      <c r="R149" s="86">
        <v>0.16</v>
      </c>
      <c r="S149" s="86">
        <v>0.16250000000000001</v>
      </c>
      <c r="T149" s="86">
        <v>0.16500000000000001</v>
      </c>
      <c r="U149" s="86">
        <v>0.16500000000000001</v>
      </c>
      <c r="V149" s="86"/>
      <c r="W149" s="407"/>
      <c r="AJ149" s="6"/>
      <c r="AK149" s="6"/>
      <c r="AL149" s="6"/>
      <c r="AM149" s="6"/>
      <c r="AN149" s="6"/>
      <c r="AO149" s="227"/>
    </row>
    <row r="150" spans="2:41" x14ac:dyDescent="0.3">
      <c r="B150" s="1" t="s">
        <v>198</v>
      </c>
      <c r="H150" s="30">
        <f t="shared" si="111"/>
        <v>7.5019833245682024E-2</v>
      </c>
      <c r="I150" s="30">
        <f t="shared" ref="I150:O158" si="113">(I137-H137)/H137</f>
        <v>3.1277253280787141E-2</v>
      </c>
      <c r="J150" s="30">
        <f t="shared" si="113"/>
        <v>0.21462357442226607</v>
      </c>
      <c r="K150" s="30">
        <f t="shared" si="113"/>
        <v>2.3214493630619032E-2</v>
      </c>
      <c r="L150" s="30">
        <f t="shared" si="113"/>
        <v>0.11264527783007287</v>
      </c>
      <c r="M150" s="30">
        <f t="shared" si="113"/>
        <v>8.955283641562807E-2</v>
      </c>
      <c r="N150" s="30">
        <f t="shared" si="113"/>
        <v>-3.7720842070286249E-4</v>
      </c>
      <c r="O150" s="30">
        <f t="shared" si="113"/>
        <v>0.11511049991601367</v>
      </c>
      <c r="P150" s="162">
        <v>0.115</v>
      </c>
      <c r="Q150" s="86">
        <f>P150+0.5%</f>
        <v>0.12000000000000001</v>
      </c>
      <c r="R150" s="86">
        <v>0.1225</v>
      </c>
      <c r="S150" s="86">
        <v>0.125</v>
      </c>
      <c r="T150" s="86">
        <v>0.1275</v>
      </c>
      <c r="U150" s="86">
        <v>0.1275</v>
      </c>
      <c r="V150" s="86"/>
      <c r="W150" s="407"/>
      <c r="AJ150" s="6"/>
      <c r="AK150" s="6"/>
      <c r="AL150" s="6"/>
      <c r="AM150" s="6"/>
      <c r="AN150" s="6"/>
    </row>
    <row r="151" spans="2:41" x14ac:dyDescent="0.3">
      <c r="B151" s="1" t="s">
        <v>199</v>
      </c>
      <c r="H151" s="30">
        <f t="shared" si="111"/>
        <v>1.6823270844412239E-2</v>
      </c>
      <c r="I151" s="30">
        <f t="shared" si="113"/>
        <v>0.1279594957758608</v>
      </c>
      <c r="J151" s="30">
        <f t="shared" si="113"/>
        <v>-5.8561658579281861E-2</v>
      </c>
      <c r="K151" s="30">
        <f t="shared" si="113"/>
        <v>3.539561855479309E-2</v>
      </c>
      <c r="L151" s="30">
        <f t="shared" si="113"/>
        <v>3.8468925974734933E-2</v>
      </c>
      <c r="M151" s="30">
        <f t="shared" si="113"/>
        <v>6.0105462458448979E-2</v>
      </c>
      <c r="N151" s="30">
        <f t="shared" si="113"/>
        <v>5.67440939552568E-2</v>
      </c>
      <c r="O151" s="30">
        <f t="shared" si="113"/>
        <v>6.6969790908458305E-3</v>
      </c>
      <c r="P151" s="162">
        <v>0.1</v>
      </c>
      <c r="Q151" s="86">
        <f>P151+0.5%</f>
        <v>0.10500000000000001</v>
      </c>
      <c r="R151" s="86">
        <v>0.1075</v>
      </c>
      <c r="S151" s="86">
        <v>0.11</v>
      </c>
      <c r="T151" s="86">
        <v>0.1125</v>
      </c>
      <c r="U151" s="86">
        <v>0.1125</v>
      </c>
      <c r="V151" s="86"/>
      <c r="W151" s="407"/>
      <c r="AJ151" s="6"/>
      <c r="AK151" s="6"/>
      <c r="AL151" s="6"/>
      <c r="AM151" s="6"/>
      <c r="AN151" s="6"/>
    </row>
    <row r="152" spans="2:41" x14ac:dyDescent="0.3">
      <c r="B152" s="1" t="s">
        <v>200</v>
      </c>
      <c r="G152" s="72"/>
      <c r="H152" s="30">
        <f t="shared" si="111"/>
        <v>0.1364495380025782</v>
      </c>
      <c r="I152" s="30">
        <f t="shared" si="113"/>
        <v>2.6306629118763628E-3</v>
      </c>
      <c r="J152" s="30">
        <f t="shared" si="113"/>
        <v>2.7823775951312326E-4</v>
      </c>
      <c r="K152" s="30">
        <f t="shared" si="113"/>
        <v>-3.3630756015526279E-2</v>
      </c>
      <c r="L152" s="30">
        <f t="shared" si="113"/>
        <v>0.11264527783007294</v>
      </c>
      <c r="M152" s="30">
        <f t="shared" si="113"/>
        <v>6.0105462458448979E-2</v>
      </c>
      <c r="N152" s="30">
        <f t="shared" si="113"/>
        <v>-9.4219348038351428E-2</v>
      </c>
      <c r="O152" s="30">
        <f t="shared" si="113"/>
        <v>0.2648244096269603</v>
      </c>
      <c r="P152" s="162">
        <v>0.05</v>
      </c>
      <c r="Q152" s="86">
        <f>P152+0.2%</f>
        <v>5.2000000000000005E-2</v>
      </c>
      <c r="R152" s="86">
        <v>5.2999999999999999E-2</v>
      </c>
      <c r="S152" s="86">
        <v>5.3999999999999999E-2</v>
      </c>
      <c r="T152" s="86">
        <v>5.5E-2</v>
      </c>
      <c r="U152" s="86">
        <v>5.5E-2</v>
      </c>
      <c r="V152" s="86"/>
      <c r="W152" s="407"/>
    </row>
    <row r="153" spans="2:41" x14ac:dyDescent="0.3">
      <c r="B153" s="1" t="s">
        <v>201</v>
      </c>
      <c r="H153" s="30">
        <f t="shared" si="111"/>
        <v>0.13644953800257825</v>
      </c>
      <c r="I153" s="30">
        <f t="shared" si="113"/>
        <v>-1.303544119612182E-2</v>
      </c>
      <c r="J153" s="30">
        <f t="shared" si="113"/>
        <v>-2.0135603827415888E-2</v>
      </c>
      <c r="K153" s="30">
        <f t="shared" si="113"/>
        <v>0.12743078464855284</v>
      </c>
      <c r="L153" s="30">
        <f t="shared" si="113"/>
        <v>0.11264527783007294</v>
      </c>
      <c r="M153" s="30">
        <f t="shared" si="113"/>
        <v>6.0105462458448979E-2</v>
      </c>
      <c r="N153" s="30">
        <f t="shared" si="113"/>
        <v>-9.4219348038351428E-2</v>
      </c>
      <c r="O153" s="30">
        <f t="shared" si="113"/>
        <v>0.2648244096269603</v>
      </c>
      <c r="P153" s="162">
        <v>0.04</v>
      </c>
      <c r="Q153" s="86">
        <f>P153+0.2%</f>
        <v>4.2000000000000003E-2</v>
      </c>
      <c r="R153" s="86">
        <v>4.2999999999999997E-2</v>
      </c>
      <c r="S153" s="86">
        <v>4.3999999999999997E-2</v>
      </c>
      <c r="T153" s="86">
        <v>4.4999999999999998E-2</v>
      </c>
      <c r="U153" s="86">
        <v>4.4999999999999998E-2</v>
      </c>
      <c r="V153" s="86"/>
      <c r="W153" s="407"/>
      <c r="Y153" s="170"/>
      <c r="AJ153" s="6"/>
      <c r="AK153" s="6"/>
      <c r="AL153" s="6"/>
      <c r="AM153" s="6"/>
      <c r="AN153" s="6"/>
    </row>
    <row r="154" spans="2:41" x14ac:dyDescent="0.3">
      <c r="B154" s="1" t="s">
        <v>202</v>
      </c>
      <c r="H154" s="30">
        <f t="shared" si="111"/>
        <v>0.13644953800257825</v>
      </c>
      <c r="I154" s="30">
        <f t="shared" si="113"/>
        <v>-9.7632403379311367E-2</v>
      </c>
      <c r="J154" s="30">
        <f t="shared" si="113"/>
        <v>-0.14261865334898888</v>
      </c>
      <c r="K154" s="30">
        <f t="shared" si="113"/>
        <v>-3.3630756015526286E-2</v>
      </c>
      <c r="L154" s="30">
        <f t="shared" si="113"/>
        <v>0.11264527783007287</v>
      </c>
      <c r="M154" s="30">
        <f t="shared" si="113"/>
        <v>6.0105462458448951E-2</v>
      </c>
      <c r="N154" s="30">
        <f t="shared" si="113"/>
        <v>5.6744093955256904E-2</v>
      </c>
      <c r="O154" s="30">
        <f t="shared" si="113"/>
        <v>8.4135208251680055E-2</v>
      </c>
      <c r="P154" s="162">
        <v>0.03</v>
      </c>
      <c r="Q154" s="86">
        <f t="shared" ref="Q154:T159" si="114">P154+0.2%</f>
        <v>3.2000000000000001E-2</v>
      </c>
      <c r="R154" s="86">
        <v>3.3000000000000002E-2</v>
      </c>
      <c r="S154" s="86">
        <v>3.4000000000000002E-2</v>
      </c>
      <c r="T154" s="86">
        <v>2.5000000000000001E-2</v>
      </c>
      <c r="U154" s="86">
        <v>2.5000000000000001E-2</v>
      </c>
      <c r="V154" s="86"/>
      <c r="W154" s="407"/>
    </row>
    <row r="155" spans="2:41" x14ac:dyDescent="0.3">
      <c r="B155" s="1" t="s">
        <v>203</v>
      </c>
      <c r="H155" s="30">
        <f t="shared" si="111"/>
        <v>-0.14766284649806641</v>
      </c>
      <c r="I155" s="30">
        <f t="shared" si="113"/>
        <v>0.50394599436781451</v>
      </c>
      <c r="J155" s="30">
        <f t="shared" si="113"/>
        <v>0.14317512886801501</v>
      </c>
      <c r="K155" s="30">
        <f t="shared" si="113"/>
        <v>-3.3630756015526279E-2</v>
      </c>
      <c r="L155" s="30">
        <f t="shared" si="113"/>
        <v>-0.16551604162744546</v>
      </c>
      <c r="M155" s="30">
        <f t="shared" si="113"/>
        <v>0.4134739499445988</v>
      </c>
      <c r="N155" s="30">
        <f t="shared" si="113"/>
        <v>5.6744093955256834E-2</v>
      </c>
      <c r="O155" s="30">
        <f t="shared" si="113"/>
        <v>8.4135208251680166E-2</v>
      </c>
      <c r="P155" s="162">
        <v>2.5000000000000001E-2</v>
      </c>
      <c r="Q155" s="86">
        <f t="shared" si="114"/>
        <v>2.7000000000000003E-2</v>
      </c>
      <c r="R155" s="86">
        <v>2.8000000000000001E-2</v>
      </c>
      <c r="S155" s="86">
        <v>2.9000000000000001E-2</v>
      </c>
      <c r="T155" s="86">
        <v>0.03</v>
      </c>
      <c r="U155" s="86">
        <v>3.1E-2</v>
      </c>
      <c r="V155" s="86"/>
      <c r="W155" s="407"/>
      <c r="AJ155" s="6"/>
      <c r="AK155" s="6"/>
      <c r="AL155" s="6"/>
      <c r="AM155" s="6"/>
      <c r="AN155" s="6"/>
    </row>
    <row r="156" spans="2:41" x14ac:dyDescent="0.3">
      <c r="B156" s="1" t="s">
        <v>204</v>
      </c>
      <c r="H156" s="30">
        <f t="shared" si="111"/>
        <v>0.13644953800257825</v>
      </c>
      <c r="I156" s="30">
        <f t="shared" si="113"/>
        <v>0.12795949577586074</v>
      </c>
      <c r="J156" s="30">
        <f t="shared" si="113"/>
        <v>0.14317512886801501</v>
      </c>
      <c r="K156" s="30">
        <f t="shared" si="113"/>
        <v>-3.3630756015526279E-2</v>
      </c>
      <c r="L156" s="30">
        <f t="shared" si="113"/>
        <v>0.11264527783007279</v>
      </c>
      <c r="M156" s="30">
        <f t="shared" si="113"/>
        <v>6.0105462458449013E-2</v>
      </c>
      <c r="N156" s="30">
        <f t="shared" si="113"/>
        <v>5.6744093955256834E-2</v>
      </c>
      <c r="O156" s="30">
        <f t="shared" si="113"/>
        <v>8.4135208251680166E-2</v>
      </c>
      <c r="P156" s="162">
        <v>0.02</v>
      </c>
      <c r="Q156" s="86">
        <f t="shared" si="114"/>
        <v>2.1999999999999999E-2</v>
      </c>
      <c r="R156" s="86">
        <v>2.3E-2</v>
      </c>
      <c r="S156" s="86">
        <v>2.4E-2</v>
      </c>
      <c r="T156" s="86">
        <v>2.5000000000000001E-2</v>
      </c>
      <c r="U156" s="86">
        <v>2.5000000000000001E-2</v>
      </c>
      <c r="V156" s="86"/>
      <c r="W156" s="407"/>
      <c r="AJ156" s="71"/>
      <c r="AK156" s="71"/>
      <c r="AL156" s="71"/>
      <c r="AM156" s="71"/>
      <c r="AN156" s="71"/>
    </row>
    <row r="157" spans="2:41" x14ac:dyDescent="0.3">
      <c r="B157" s="1" t="s">
        <v>205</v>
      </c>
      <c r="H157" s="30">
        <f t="shared" si="111"/>
        <v>-0.24236697466494778</v>
      </c>
      <c r="I157" s="30">
        <f t="shared" si="113"/>
        <v>0.12795949577586074</v>
      </c>
      <c r="J157" s="30">
        <f t="shared" si="113"/>
        <v>0.14317512886801501</v>
      </c>
      <c r="K157" s="30">
        <f t="shared" si="113"/>
        <v>-3.3630756015526279E-2</v>
      </c>
      <c r="L157" s="30">
        <f t="shared" si="113"/>
        <v>0.11264527783007279</v>
      </c>
      <c r="M157" s="30">
        <f t="shared" si="113"/>
        <v>-0.46994726877077547</v>
      </c>
      <c r="N157" s="30">
        <f t="shared" si="113"/>
        <v>5.6744093955256834E-2</v>
      </c>
      <c r="O157" s="30">
        <f t="shared" si="113"/>
        <v>8.4135208251680166E-2</v>
      </c>
      <c r="P157" s="162">
        <v>1.2500000000000001E-2</v>
      </c>
      <c r="Q157" s="86">
        <f t="shared" si="114"/>
        <v>1.4500000000000001E-2</v>
      </c>
      <c r="R157" s="86">
        <v>1.55E-2</v>
      </c>
      <c r="S157" s="86">
        <v>1.6500000000000001E-2</v>
      </c>
      <c r="T157" s="86">
        <v>1.7500000000000002E-2</v>
      </c>
      <c r="U157" s="86">
        <v>1.7500000000000002E-2</v>
      </c>
      <c r="V157" s="86"/>
      <c r="W157" s="407"/>
    </row>
    <row r="158" spans="2:41" x14ac:dyDescent="0.3">
      <c r="B158" s="1" t="s">
        <v>206</v>
      </c>
      <c r="H158" s="30">
        <f t="shared" si="111"/>
        <v>0.13644953800257825</v>
      </c>
      <c r="I158" s="30">
        <f t="shared" si="113"/>
        <v>0.12795949577586074</v>
      </c>
      <c r="J158" s="30">
        <f t="shared" si="113"/>
        <v>-0.14261865334898888</v>
      </c>
      <c r="K158" s="30">
        <f t="shared" si="113"/>
        <v>-3.3630756015526286E-2</v>
      </c>
      <c r="L158" s="30">
        <f t="shared" si="113"/>
        <v>0.11264527783007287</v>
      </c>
      <c r="M158" s="30">
        <f t="shared" si="113"/>
        <v>6.0105462458448951E-2</v>
      </c>
      <c r="N158" s="30">
        <f t="shared" si="113"/>
        <v>-0.29550393736316205</v>
      </c>
      <c r="O158" s="30">
        <f t="shared" si="113"/>
        <v>8.4135208251680166E-2</v>
      </c>
      <c r="P158" s="162">
        <v>1.2500000000000001E-2</v>
      </c>
      <c r="Q158" s="86">
        <f t="shared" si="114"/>
        <v>1.4500000000000001E-2</v>
      </c>
      <c r="R158" s="86">
        <v>1.55E-2</v>
      </c>
      <c r="S158" s="86">
        <v>1.6500000000000001E-2</v>
      </c>
      <c r="T158" s="86">
        <v>1.7500000000000002E-2</v>
      </c>
      <c r="U158" s="86">
        <v>1.7500000000000002E-2</v>
      </c>
      <c r="V158" s="86"/>
      <c r="W158" s="407"/>
    </row>
    <row r="159" spans="2:41" x14ac:dyDescent="0.3">
      <c r="B159" s="1" t="s">
        <v>207</v>
      </c>
      <c r="H159" s="30">
        <f t="shared" si="111"/>
        <v>0.13644953800257825</v>
      </c>
      <c r="I159" s="30">
        <f>(I146-H146)/H146</f>
        <v>0.12795949577586074</v>
      </c>
      <c r="J159" s="30">
        <f>(J146-I146)/I146</f>
        <v>-1</v>
      </c>
      <c r="K159" s="30">
        <v>0</v>
      </c>
      <c r="L159" s="30">
        <v>0</v>
      </c>
      <c r="M159" s="30">
        <v>0</v>
      </c>
      <c r="N159" s="30">
        <v>0</v>
      </c>
      <c r="O159" s="30">
        <f>(O146-I146)/I146</f>
        <v>0.49284578487071085</v>
      </c>
      <c r="P159" s="162">
        <v>0.01</v>
      </c>
      <c r="Q159" s="86">
        <f t="shared" si="114"/>
        <v>1.2E-2</v>
      </c>
      <c r="R159" s="86">
        <f t="shared" si="114"/>
        <v>1.4E-2</v>
      </c>
      <c r="S159" s="86">
        <f t="shared" si="114"/>
        <v>1.6E-2</v>
      </c>
      <c r="T159" s="86">
        <f t="shared" si="114"/>
        <v>1.8000000000000002E-2</v>
      </c>
      <c r="U159" s="86">
        <f t="shared" ref="U159" si="115">T159+0.1%</f>
        <v>1.9000000000000003E-2</v>
      </c>
      <c r="V159" s="86"/>
      <c r="W159" s="407"/>
    </row>
    <row r="160" spans="2:41" x14ac:dyDescent="0.3">
      <c r="G160" s="6"/>
      <c r="H160" s="6"/>
      <c r="I160" s="6"/>
      <c r="J160" s="6"/>
      <c r="K160" s="6"/>
      <c r="L160" s="6"/>
      <c r="M160" s="6"/>
      <c r="N160" s="6"/>
      <c r="O160" s="6"/>
      <c r="W160" s="407"/>
    </row>
    <row r="161" spans="1:23" x14ac:dyDescent="0.3">
      <c r="B161" s="3" t="s">
        <v>214</v>
      </c>
      <c r="G161" s="7">
        <f t="shared" ref="G161:O161" si="116">G4</f>
        <v>592644</v>
      </c>
      <c r="H161" s="7">
        <f t="shared" si="116"/>
        <v>673510</v>
      </c>
      <c r="I161" s="7">
        <f t="shared" si="116"/>
        <v>759692</v>
      </c>
      <c r="J161" s="7">
        <f t="shared" si="116"/>
        <v>868461</v>
      </c>
      <c r="K161" s="7">
        <f t="shared" si="116"/>
        <v>839254</v>
      </c>
      <c r="L161" s="7">
        <f t="shared" si="116"/>
        <v>933792</v>
      </c>
      <c r="M161" s="7">
        <f t="shared" si="116"/>
        <v>989918</v>
      </c>
      <c r="N161" s="7">
        <f t="shared" si="116"/>
        <v>1046090</v>
      </c>
      <c r="O161" s="7">
        <f t="shared" si="116"/>
        <v>1134103</v>
      </c>
      <c r="P161" s="7">
        <f>SUM(P136:P146)</f>
        <v>1248392.2298250003</v>
      </c>
      <c r="Q161" s="7">
        <f t="shared" ref="Q161:T161" si="117">SUM(Q136:Q146)</f>
        <v>1382472.3366958124</v>
      </c>
      <c r="R161" s="7">
        <f>SUM(R136:R146)</f>
        <v>1536433.0099928251</v>
      </c>
      <c r="S161" s="7">
        <f t="shared" si="117"/>
        <v>1713637.4999623799</v>
      </c>
      <c r="T161" s="7">
        <f t="shared" si="117"/>
        <v>1917692.3755778368</v>
      </c>
      <c r="U161" s="7">
        <f t="shared" ref="U161" si="118">SUM(U136:U146)</f>
        <v>2149498.3898404702</v>
      </c>
      <c r="V161" s="7"/>
      <c r="W161" s="407"/>
    </row>
    <row r="162" spans="1:23" x14ac:dyDescent="0.3">
      <c r="B162" s="3" t="s">
        <v>216</v>
      </c>
      <c r="H162" s="30">
        <f>'Key Ratios &amp; Metrics'!Q143</f>
        <v>0.13644953800257828</v>
      </c>
      <c r="I162" s="30">
        <f>'Key Ratios &amp; Metrics'!R143</f>
        <v>0.1279594957758608</v>
      </c>
      <c r="J162" s="30">
        <f>'Key Ratios &amp; Metrics'!S143</f>
        <v>0.14317512886801492</v>
      </c>
      <c r="K162" s="30">
        <f>'Key Ratios &amp; Metrics'!T143</f>
        <v>-3.3630756015526314E-2</v>
      </c>
      <c r="L162" s="30">
        <f>'Key Ratios &amp; Metrics'!U143</f>
        <v>0.1126452778300729</v>
      </c>
      <c r="M162" s="30">
        <f>'Key Ratios &amp; Metrics'!V143</f>
        <v>6.0105462458448992E-2</v>
      </c>
      <c r="N162" s="30">
        <f>'Key Ratios &amp; Metrics'!W143</f>
        <v>5.6744093955256897E-2</v>
      </c>
      <c r="O162" s="30">
        <f>'Key Ratios &amp; Metrics'!X143</f>
        <v>8.4135208251680069E-2</v>
      </c>
      <c r="P162" s="163">
        <f>(P161-O161)/O161</f>
        <v>0.10077500000000024</v>
      </c>
      <c r="Q162" s="73">
        <f t="shared" ref="Q162:U162" si="119">(Q161-P161)/P161</f>
        <v>0.10740222797574404</v>
      </c>
      <c r="R162" s="73">
        <f t="shared" si="119"/>
        <v>0.11136618738063683</v>
      </c>
      <c r="S162" s="73">
        <f t="shared" si="119"/>
        <v>0.11533499268567676</v>
      </c>
      <c r="T162" s="73">
        <f t="shared" si="119"/>
        <v>0.11907703678282981</v>
      </c>
      <c r="U162" s="73">
        <f t="shared" si="119"/>
        <v>0.12087758037458218</v>
      </c>
      <c r="V162" s="73"/>
      <c r="W162" s="407"/>
    </row>
    <row r="163" spans="1:23" x14ac:dyDescent="0.3">
      <c r="W163" s="407"/>
    </row>
    <row r="164" spans="1:23" x14ac:dyDescent="0.3">
      <c r="W164" s="407"/>
    </row>
    <row r="165" spans="1:23" x14ac:dyDescent="0.3">
      <c r="A165" t="s">
        <v>90</v>
      </c>
      <c r="B165" s="369" t="s">
        <v>217</v>
      </c>
      <c r="C165" s="368"/>
      <c r="D165" s="368"/>
      <c r="E165" s="368"/>
      <c r="F165" s="368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69"/>
      <c r="W165" s="407"/>
    </row>
    <row r="166" spans="1:23" x14ac:dyDescent="0.3">
      <c r="B166" s="4" t="s">
        <v>8</v>
      </c>
      <c r="G166" s="74">
        <f>G132</f>
        <v>45382</v>
      </c>
      <c r="H166" s="74">
        <f t="shared" ref="H166:U166" si="120">H132</f>
        <v>45473</v>
      </c>
      <c r="I166" s="74">
        <f t="shared" si="120"/>
        <v>45565</v>
      </c>
      <c r="J166" s="74">
        <f t="shared" si="120"/>
        <v>45656</v>
      </c>
      <c r="K166" s="74">
        <f t="shared" si="120"/>
        <v>45746</v>
      </c>
      <c r="L166" s="74">
        <f t="shared" si="120"/>
        <v>45838</v>
      </c>
      <c r="M166" s="74">
        <f t="shared" si="120"/>
        <v>45930</v>
      </c>
      <c r="N166" s="74">
        <f t="shared" si="120"/>
        <v>46021</v>
      </c>
      <c r="O166" s="74">
        <f t="shared" si="120"/>
        <v>46111</v>
      </c>
      <c r="P166" s="74">
        <f t="shared" si="120"/>
        <v>46203</v>
      </c>
      <c r="Q166" s="74">
        <f t="shared" si="120"/>
        <v>46295</v>
      </c>
      <c r="R166" s="74">
        <f t="shared" si="120"/>
        <v>46386</v>
      </c>
      <c r="S166" s="74">
        <f t="shared" si="120"/>
        <v>46476</v>
      </c>
      <c r="T166" s="74">
        <f t="shared" si="120"/>
        <v>46568</v>
      </c>
      <c r="U166" s="170" t="str">
        <f t="shared" si="120"/>
        <v>Term</v>
      </c>
      <c r="V166" s="170"/>
      <c r="W166" s="407"/>
    </row>
    <row r="167" spans="1:23" x14ac:dyDescent="0.3">
      <c r="B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W167" s="407"/>
    </row>
    <row r="168" spans="1:23" x14ac:dyDescent="0.3">
      <c r="W168" s="407"/>
    </row>
    <row r="169" spans="1:23" x14ac:dyDescent="0.3">
      <c r="B169" t="s">
        <v>214</v>
      </c>
      <c r="G169" s="6">
        <f>G161</f>
        <v>592644</v>
      </c>
      <c r="H169" s="6">
        <f t="shared" ref="H169:T169" si="121">H161</f>
        <v>673510</v>
      </c>
      <c r="I169" s="6">
        <f t="shared" si="121"/>
        <v>759692</v>
      </c>
      <c r="J169" s="6">
        <f t="shared" si="121"/>
        <v>868461</v>
      </c>
      <c r="K169" s="6">
        <f t="shared" si="121"/>
        <v>839254</v>
      </c>
      <c r="L169" s="6">
        <f t="shared" si="121"/>
        <v>933792</v>
      </c>
      <c r="M169" s="6">
        <f t="shared" si="121"/>
        <v>989918</v>
      </c>
      <c r="N169" s="6">
        <f t="shared" si="121"/>
        <v>1046090</v>
      </c>
      <c r="O169" s="6">
        <f t="shared" si="121"/>
        <v>1134103</v>
      </c>
      <c r="P169" s="6">
        <f t="shared" si="121"/>
        <v>1248392.2298250003</v>
      </c>
      <c r="Q169" s="6">
        <f t="shared" si="121"/>
        <v>1382472.3366958124</v>
      </c>
      <c r="R169" s="6">
        <f t="shared" si="121"/>
        <v>1536433.0099928251</v>
      </c>
      <c r="S169" s="6">
        <f t="shared" si="121"/>
        <v>1713637.4999623799</v>
      </c>
      <c r="T169" s="6">
        <f t="shared" si="121"/>
        <v>1917692.3755778368</v>
      </c>
      <c r="U169" s="6">
        <f t="shared" ref="U169" si="122">U161</f>
        <v>2149498.3898404702</v>
      </c>
      <c r="V169" s="6"/>
      <c r="W169" s="407"/>
    </row>
    <row r="170" spans="1:23" x14ac:dyDescent="0.3">
      <c r="B170" t="s">
        <v>218</v>
      </c>
      <c r="G170" s="6">
        <f t="shared" ref="G170:O170" si="123">G5*-1</f>
        <v>278139</v>
      </c>
      <c r="H170" s="6">
        <f t="shared" si="123"/>
        <v>315385</v>
      </c>
      <c r="I170" s="6">
        <f t="shared" si="123"/>
        <v>320347</v>
      </c>
      <c r="J170" s="6">
        <f t="shared" si="123"/>
        <v>356082</v>
      </c>
      <c r="K170" s="6">
        <f t="shared" si="123"/>
        <v>345859</v>
      </c>
      <c r="L170" s="6">
        <f t="shared" si="123"/>
        <v>386423</v>
      </c>
      <c r="M170" s="6">
        <f t="shared" si="123"/>
        <v>401375</v>
      </c>
      <c r="N170" s="6">
        <f t="shared" si="123"/>
        <v>394103</v>
      </c>
      <c r="O170" s="6">
        <f t="shared" si="123"/>
        <v>382808</v>
      </c>
      <c r="P170" s="6">
        <f>P169*P174</f>
        <v>418211.39699137514</v>
      </c>
      <c r="Q170" s="6">
        <f t="shared" ref="Q170:U170" si="124">Q169*Q174</f>
        <v>459672.05195135763</v>
      </c>
      <c r="R170" s="6">
        <f t="shared" si="124"/>
        <v>507022.89329763228</v>
      </c>
      <c r="S170" s="6">
        <f t="shared" si="124"/>
        <v>561216.28123767942</v>
      </c>
      <c r="T170" s="6">
        <f t="shared" si="124"/>
        <v>623250.02206279698</v>
      </c>
      <c r="U170" s="6">
        <f t="shared" si="124"/>
        <v>694287.97991847177</v>
      </c>
      <c r="V170" s="6"/>
      <c r="W170" s="407"/>
    </row>
    <row r="171" spans="1:23" x14ac:dyDescent="0.3">
      <c r="B171" t="s">
        <v>110</v>
      </c>
      <c r="G171" s="6">
        <f t="shared" ref="G171:O171" si="125">G10*-1</f>
        <v>19248</v>
      </c>
      <c r="H171" s="6">
        <f t="shared" si="125"/>
        <v>22238</v>
      </c>
      <c r="I171" s="6">
        <f t="shared" si="125"/>
        <v>26295</v>
      </c>
      <c r="J171" s="6">
        <f t="shared" si="125"/>
        <v>29108</v>
      </c>
      <c r="K171" s="6">
        <f t="shared" si="125"/>
        <v>28639</v>
      </c>
      <c r="L171" s="6">
        <f t="shared" si="125"/>
        <v>23228</v>
      </c>
      <c r="M171" s="6">
        <f t="shared" si="125"/>
        <v>24022</v>
      </c>
      <c r="N171" s="6">
        <f t="shared" si="125"/>
        <v>23333</v>
      </c>
      <c r="O171" s="6">
        <f t="shared" si="125"/>
        <v>26249</v>
      </c>
      <c r="P171" s="6">
        <f>P169*P175</f>
        <v>28713.021285975006</v>
      </c>
      <c r="Q171" s="6">
        <f t="shared" ref="Q171:T171" si="126">Q169*Q175</f>
        <v>29031.919070612061</v>
      </c>
      <c r="R171" s="6">
        <f t="shared" si="126"/>
        <v>30728.660199856502</v>
      </c>
      <c r="S171" s="6">
        <f t="shared" si="126"/>
        <v>33415.93124926641</v>
      </c>
      <c r="T171" s="6">
        <f t="shared" si="126"/>
        <v>36436.155135978901</v>
      </c>
      <c r="U171" s="6">
        <f t="shared" ref="U171" si="127">U169*U175</f>
        <v>40840.469406968929</v>
      </c>
      <c r="V171" s="6"/>
      <c r="W171" s="407"/>
    </row>
    <row r="172" spans="1:23" x14ac:dyDescent="0.3">
      <c r="B172" t="s">
        <v>220</v>
      </c>
      <c r="G172" s="6">
        <f t="shared" ref="G172:O172" si="128">G9*-1</f>
        <v>46109</v>
      </c>
      <c r="H172" s="6">
        <f t="shared" si="128"/>
        <v>48058</v>
      </c>
      <c r="I172" s="6">
        <f t="shared" si="128"/>
        <v>52783</v>
      </c>
      <c r="J172" s="6">
        <f t="shared" si="128"/>
        <v>57232</v>
      </c>
      <c r="K172" s="6">
        <f t="shared" si="128"/>
        <v>56547</v>
      </c>
      <c r="L172" s="6">
        <f t="shared" si="128"/>
        <v>61280</v>
      </c>
      <c r="M172" s="6">
        <f t="shared" si="128"/>
        <v>63743</v>
      </c>
      <c r="N172" s="6">
        <f t="shared" si="128"/>
        <v>64857</v>
      </c>
      <c r="O172" s="6">
        <f t="shared" si="128"/>
        <v>67757</v>
      </c>
      <c r="P172" s="6">
        <f>P169*P176</f>
        <v>74279.337674587514</v>
      </c>
      <c r="Q172" s="6">
        <f t="shared" ref="Q172:T172" si="129">Q169*Q176</f>
        <v>81565.867865052933</v>
      </c>
      <c r="R172" s="6">
        <f t="shared" si="129"/>
        <v>89881.331084580277</v>
      </c>
      <c r="S172" s="6">
        <f t="shared" si="129"/>
        <v>99390.974997818033</v>
      </c>
      <c r="T172" s="6">
        <f t="shared" si="129"/>
        <v>111226.15778351454</v>
      </c>
      <c r="U172" s="6">
        <f t="shared" ref="U172" si="130">U169*U176</f>
        <v>124670.90661074726</v>
      </c>
      <c r="V172" s="6"/>
      <c r="W172" s="407"/>
    </row>
    <row r="173" spans="1:23" x14ac:dyDescent="0.3">
      <c r="W173" s="407"/>
    </row>
    <row r="174" spans="1:23" x14ac:dyDescent="0.3">
      <c r="B174" s="84" t="s">
        <v>219</v>
      </c>
      <c r="G174" s="30">
        <f>G170/G$169</f>
        <v>0.46931884908984145</v>
      </c>
      <c r="H174" s="30">
        <f t="shared" ref="H174:O174" si="131">H170/H$169</f>
        <v>0.46827070125165182</v>
      </c>
      <c r="I174" s="30">
        <f t="shared" si="131"/>
        <v>0.42168010193604777</v>
      </c>
      <c r="J174" s="30">
        <f t="shared" si="131"/>
        <v>0.41001495749377348</v>
      </c>
      <c r="K174" s="30">
        <f t="shared" si="131"/>
        <v>0.41210289137734224</v>
      </c>
      <c r="L174" s="30">
        <f t="shared" si="131"/>
        <v>0.41382127925705081</v>
      </c>
      <c r="M174" s="30">
        <f t="shared" si="131"/>
        <v>0.40546287672312253</v>
      </c>
      <c r="N174" s="30">
        <f t="shared" si="131"/>
        <v>0.37673909510653958</v>
      </c>
      <c r="O174" s="30">
        <f t="shared" si="131"/>
        <v>0.33754253361467168</v>
      </c>
      <c r="P174" s="162">
        <f>Inputs!I4</f>
        <v>0.33500000000000002</v>
      </c>
      <c r="Q174" s="162">
        <f>Inputs!J4</f>
        <v>0.33250000000000002</v>
      </c>
      <c r="R174" s="162">
        <f>Inputs!K4</f>
        <v>0.33</v>
      </c>
      <c r="S174" s="162">
        <f>Inputs!L4</f>
        <v>0.32750000000000001</v>
      </c>
      <c r="T174" s="162">
        <f>Inputs!M4</f>
        <v>0.32500000000000001</v>
      </c>
      <c r="U174" s="162">
        <f>Inputs!N4</f>
        <v>0.32299999999999995</v>
      </c>
      <c r="V174" s="171"/>
      <c r="W174" s="407"/>
    </row>
    <row r="175" spans="1:23" x14ac:dyDescent="0.3">
      <c r="B175" s="84" t="s">
        <v>221</v>
      </c>
      <c r="G175" s="30">
        <f t="shared" ref="G175:O176" si="132">G171/G$169</f>
        <v>3.2478182517666591E-2</v>
      </c>
      <c r="H175" s="30">
        <f t="shared" si="132"/>
        <v>3.3018069516414013E-2</v>
      </c>
      <c r="I175" s="30">
        <f t="shared" si="132"/>
        <v>3.4612711467278845E-2</v>
      </c>
      <c r="J175" s="30">
        <f t="shared" si="132"/>
        <v>3.3516761259285106E-2</v>
      </c>
      <c r="K175" s="30">
        <f t="shared" si="132"/>
        <v>3.412435329471173E-2</v>
      </c>
      <c r="L175" s="30">
        <f t="shared" si="132"/>
        <v>2.4874918611425243E-2</v>
      </c>
      <c r="M175" s="30">
        <f t="shared" si="132"/>
        <v>2.4266656430128555E-2</v>
      </c>
      <c r="N175" s="30">
        <f t="shared" si="132"/>
        <v>2.2304964200021031E-2</v>
      </c>
      <c r="O175" s="30">
        <f t="shared" si="132"/>
        <v>2.3145164063581528E-2</v>
      </c>
      <c r="P175" s="162">
        <f>Inputs!I6</f>
        <v>2.3E-2</v>
      </c>
      <c r="Q175" s="162">
        <f>Inputs!J6</f>
        <v>2.1000000000000001E-2</v>
      </c>
      <c r="R175" s="162">
        <f>Inputs!K6</f>
        <v>0.02</v>
      </c>
      <c r="S175" s="162">
        <f>Inputs!L6</f>
        <v>1.95E-2</v>
      </c>
      <c r="T175" s="162">
        <f>Inputs!M6</f>
        <v>1.9E-2</v>
      </c>
      <c r="U175" s="162">
        <f>Inputs!N6</f>
        <v>1.9E-2</v>
      </c>
      <c r="V175" s="171"/>
      <c r="W175" s="407"/>
    </row>
    <row r="176" spans="1:23" x14ac:dyDescent="0.3">
      <c r="B176" s="84" t="s">
        <v>222</v>
      </c>
      <c r="G176" s="30">
        <f t="shared" si="132"/>
        <v>7.7802188160177102E-2</v>
      </c>
      <c r="H176" s="30">
        <f t="shared" si="132"/>
        <v>7.1354545589523546E-2</v>
      </c>
      <c r="I176" s="30">
        <f t="shared" si="132"/>
        <v>6.9479473260215988E-2</v>
      </c>
      <c r="J176" s="30">
        <f t="shared" si="132"/>
        <v>6.5900483729263604E-2</v>
      </c>
      <c r="K176" s="30">
        <f t="shared" si="132"/>
        <v>6.7377694952898651E-2</v>
      </c>
      <c r="L176" s="30">
        <f t="shared" si="132"/>
        <v>6.5624892909770055E-2</v>
      </c>
      <c r="M176" s="30">
        <f t="shared" si="132"/>
        <v>6.4392202182402991E-2</v>
      </c>
      <c r="N176" s="30">
        <f t="shared" si="132"/>
        <v>6.1999445554397806E-2</v>
      </c>
      <c r="O176" s="30">
        <f>O172/O$169</f>
        <v>5.9745014341730865E-2</v>
      </c>
      <c r="P176" s="162">
        <f>Inputs!I8</f>
        <v>5.9499999999999997E-2</v>
      </c>
      <c r="Q176" s="162">
        <f>Inputs!J8</f>
        <v>5.8999999999999997E-2</v>
      </c>
      <c r="R176" s="162">
        <f>Inputs!K8</f>
        <v>5.8500000000000003E-2</v>
      </c>
      <c r="S176" s="162">
        <f>Inputs!L8</f>
        <v>5.8000000000000003E-2</v>
      </c>
      <c r="T176" s="162">
        <f>Inputs!M8</f>
        <v>5.8000000000000003E-2</v>
      </c>
      <c r="U176" s="162">
        <f>Inputs!N8</f>
        <v>5.7999999999999996E-2</v>
      </c>
      <c r="V176" s="171"/>
      <c r="W176" s="407"/>
    </row>
    <row r="177" spans="1:40" x14ac:dyDescent="0.3">
      <c r="W177" s="407"/>
    </row>
    <row r="178" spans="1:40" x14ac:dyDescent="0.3">
      <c r="B178" s="3" t="s">
        <v>39</v>
      </c>
      <c r="P178" s="7">
        <f>P170</f>
        <v>418211.39699137514</v>
      </c>
      <c r="Q178" s="7">
        <f t="shared" ref="Q178:T178" si="133">Q170</f>
        <v>459672.05195135763</v>
      </c>
      <c r="R178" s="7">
        <f t="shared" si="133"/>
        <v>507022.89329763228</v>
      </c>
      <c r="S178" s="7">
        <f t="shared" si="133"/>
        <v>561216.28123767942</v>
      </c>
      <c r="T178" s="7">
        <f t="shared" si="133"/>
        <v>623250.02206279698</v>
      </c>
      <c r="U178" s="7">
        <f t="shared" ref="U178" si="134">U170</f>
        <v>694287.97991847177</v>
      </c>
      <c r="V178" s="7"/>
      <c r="W178" s="407"/>
    </row>
    <row r="179" spans="1:40" x14ac:dyDescent="0.3">
      <c r="B179" s="3" t="s">
        <v>110</v>
      </c>
      <c r="P179" s="7">
        <f t="shared" ref="P179:T179" si="135">P171</f>
        <v>28713.021285975006</v>
      </c>
      <c r="Q179" s="7">
        <f t="shared" si="135"/>
        <v>29031.919070612061</v>
      </c>
      <c r="R179" s="7">
        <f t="shared" si="135"/>
        <v>30728.660199856502</v>
      </c>
      <c r="S179" s="7">
        <f t="shared" si="135"/>
        <v>33415.93124926641</v>
      </c>
      <c r="T179" s="7">
        <f t="shared" si="135"/>
        <v>36436.155135978901</v>
      </c>
      <c r="U179" s="7">
        <f t="shared" ref="U179" si="136">U171</f>
        <v>40840.469406968929</v>
      </c>
      <c r="V179" s="7"/>
      <c r="W179" s="407"/>
    </row>
    <row r="180" spans="1:40" x14ac:dyDescent="0.3">
      <c r="B180" s="3" t="s">
        <v>220</v>
      </c>
      <c r="P180" s="7">
        <f t="shared" ref="P180:T180" si="137">P172</f>
        <v>74279.337674587514</v>
      </c>
      <c r="Q180" s="7">
        <f t="shared" si="137"/>
        <v>81565.867865052933</v>
      </c>
      <c r="R180" s="7">
        <f t="shared" si="137"/>
        <v>89881.331084580277</v>
      </c>
      <c r="S180" s="7">
        <f t="shared" si="137"/>
        <v>99390.974997818033</v>
      </c>
      <c r="T180" s="7">
        <f t="shared" si="137"/>
        <v>111226.15778351454</v>
      </c>
      <c r="U180" s="7">
        <f t="shared" ref="U180" si="138">U172</f>
        <v>124670.90661074726</v>
      </c>
      <c r="V180" s="7"/>
      <c r="W180" s="407"/>
    </row>
    <row r="181" spans="1:40" x14ac:dyDescent="0.3">
      <c r="W181" s="407"/>
    </row>
    <row r="182" spans="1:40" x14ac:dyDescent="0.3">
      <c r="A182" t="s">
        <v>90</v>
      </c>
      <c r="B182" s="369" t="s">
        <v>223</v>
      </c>
      <c r="C182" s="368"/>
      <c r="D182" s="368"/>
      <c r="E182" s="368"/>
      <c r="F182" s="368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69"/>
      <c r="W182" s="407"/>
    </row>
    <row r="183" spans="1:40" x14ac:dyDescent="0.3">
      <c r="B183" s="4" t="s">
        <v>8</v>
      </c>
      <c r="F183" s="360">
        <v>45291</v>
      </c>
      <c r="G183" s="74">
        <f>G166</f>
        <v>45382</v>
      </c>
      <c r="H183" s="74">
        <f t="shared" ref="H183:U183" si="139">H166</f>
        <v>45473</v>
      </c>
      <c r="I183" s="74">
        <f t="shared" si="139"/>
        <v>45565</v>
      </c>
      <c r="J183" s="74">
        <f t="shared" si="139"/>
        <v>45656</v>
      </c>
      <c r="K183" s="74">
        <f t="shared" si="139"/>
        <v>45746</v>
      </c>
      <c r="L183" s="74">
        <f t="shared" si="139"/>
        <v>45838</v>
      </c>
      <c r="M183" s="74">
        <f t="shared" si="139"/>
        <v>45930</v>
      </c>
      <c r="N183" s="74">
        <f t="shared" si="139"/>
        <v>46021</v>
      </c>
      <c r="O183" s="74">
        <f t="shared" si="139"/>
        <v>46111</v>
      </c>
      <c r="P183" s="74">
        <f t="shared" si="139"/>
        <v>46203</v>
      </c>
      <c r="Q183" s="74">
        <f t="shared" si="139"/>
        <v>46295</v>
      </c>
      <c r="R183" s="74">
        <f t="shared" si="139"/>
        <v>46386</v>
      </c>
      <c r="S183" s="74">
        <f t="shared" si="139"/>
        <v>46476</v>
      </c>
      <c r="T183" s="74">
        <f t="shared" si="139"/>
        <v>46568</v>
      </c>
      <c r="U183" s="170" t="str">
        <f t="shared" si="139"/>
        <v>Term</v>
      </c>
      <c r="V183" s="170"/>
      <c r="W183" s="407"/>
    </row>
    <row r="184" spans="1:40" x14ac:dyDescent="0.3">
      <c r="W184" s="407"/>
    </row>
    <row r="185" spans="1:40" x14ac:dyDescent="0.3">
      <c r="W185" s="407"/>
      <c r="Z185" s="5">
        <f>G183</f>
        <v>45382</v>
      </c>
      <c r="AA185" s="5">
        <f t="shared" ref="AA185:AN185" si="140">H183</f>
        <v>45473</v>
      </c>
      <c r="AB185" s="5">
        <f t="shared" si="140"/>
        <v>45565</v>
      </c>
      <c r="AC185" s="5">
        <f t="shared" si="140"/>
        <v>45656</v>
      </c>
      <c r="AD185" s="5">
        <f t="shared" si="140"/>
        <v>45746</v>
      </c>
      <c r="AE185" s="5">
        <f t="shared" si="140"/>
        <v>45838</v>
      </c>
      <c r="AF185" s="5">
        <f t="shared" si="140"/>
        <v>45930</v>
      </c>
      <c r="AG185" s="5">
        <f t="shared" si="140"/>
        <v>46021</v>
      </c>
      <c r="AH185" s="5">
        <f t="shared" si="140"/>
        <v>46111</v>
      </c>
      <c r="AI185" s="5">
        <f t="shared" si="140"/>
        <v>46203</v>
      </c>
      <c r="AJ185" s="5">
        <f t="shared" si="140"/>
        <v>46295</v>
      </c>
      <c r="AK185" s="5">
        <f t="shared" si="140"/>
        <v>46386</v>
      </c>
      <c r="AL185" s="5">
        <f t="shared" si="140"/>
        <v>46476</v>
      </c>
      <c r="AM185" s="5">
        <f t="shared" si="140"/>
        <v>46568</v>
      </c>
      <c r="AN185" s="5" t="str">
        <f t="shared" si="140"/>
        <v>Term</v>
      </c>
    </row>
    <row r="186" spans="1:40" x14ac:dyDescent="0.3">
      <c r="B186" t="s">
        <v>224</v>
      </c>
      <c r="G186" s="75">
        <f>_xlfn.DAYS(G183,F183)</f>
        <v>91</v>
      </c>
      <c r="H186" s="76">
        <f t="shared" ref="H186:T186" si="141">_xlfn.DAYS(H183,G183)</f>
        <v>91</v>
      </c>
      <c r="I186" s="76">
        <f t="shared" si="141"/>
        <v>92</v>
      </c>
      <c r="J186" s="76">
        <f t="shared" si="141"/>
        <v>91</v>
      </c>
      <c r="K186" s="76">
        <f t="shared" si="141"/>
        <v>90</v>
      </c>
      <c r="L186" s="76">
        <f t="shared" si="141"/>
        <v>92</v>
      </c>
      <c r="M186" s="76">
        <f t="shared" si="141"/>
        <v>92</v>
      </c>
      <c r="N186" s="76">
        <f t="shared" si="141"/>
        <v>91</v>
      </c>
      <c r="O186" s="76">
        <f t="shared" si="141"/>
        <v>90</v>
      </c>
      <c r="P186" s="76">
        <f t="shared" si="141"/>
        <v>92</v>
      </c>
      <c r="Q186" s="76">
        <f t="shared" si="141"/>
        <v>92</v>
      </c>
      <c r="R186" s="76">
        <f t="shared" si="141"/>
        <v>91</v>
      </c>
      <c r="S186" s="76">
        <f t="shared" si="141"/>
        <v>90</v>
      </c>
      <c r="T186" s="76">
        <f t="shared" si="141"/>
        <v>92</v>
      </c>
      <c r="U186" s="77">
        <v>92</v>
      </c>
      <c r="V186" s="83"/>
      <c r="W186" s="407"/>
      <c r="Y186" s="170"/>
    </row>
    <row r="187" spans="1:40" x14ac:dyDescent="0.3">
      <c r="B187" t="s">
        <v>121</v>
      </c>
      <c r="G187" s="12">
        <f>G161</f>
        <v>592644</v>
      </c>
      <c r="H187" s="6">
        <f t="shared" ref="H187:T187" si="142">H161</f>
        <v>673510</v>
      </c>
      <c r="I187" s="6">
        <f t="shared" si="142"/>
        <v>759692</v>
      </c>
      <c r="J187" s="6">
        <f t="shared" si="142"/>
        <v>868461</v>
      </c>
      <c r="K187" s="6">
        <f t="shared" si="142"/>
        <v>839254</v>
      </c>
      <c r="L187" s="6">
        <f t="shared" si="142"/>
        <v>933792</v>
      </c>
      <c r="M187" s="6">
        <f t="shared" si="142"/>
        <v>989918</v>
      </c>
      <c r="N187" s="6">
        <f t="shared" si="142"/>
        <v>1046090</v>
      </c>
      <c r="O187" s="6">
        <f t="shared" si="142"/>
        <v>1134103</v>
      </c>
      <c r="P187" s="6">
        <f t="shared" si="142"/>
        <v>1248392.2298250003</v>
      </c>
      <c r="Q187" s="6">
        <f t="shared" si="142"/>
        <v>1382472.3366958124</v>
      </c>
      <c r="R187" s="6">
        <f t="shared" si="142"/>
        <v>1536433.0099928251</v>
      </c>
      <c r="S187" s="6">
        <f t="shared" si="142"/>
        <v>1713637.4999623799</v>
      </c>
      <c r="T187" s="6">
        <f t="shared" si="142"/>
        <v>1917692.3755778368</v>
      </c>
      <c r="U187" s="78">
        <f t="shared" ref="U187" si="143">U161</f>
        <v>2149498.3898404702</v>
      </c>
      <c r="V187" s="6"/>
      <c r="W187" s="407"/>
      <c r="Y187" t="str">
        <f>B186</f>
        <v>Days in Period</v>
      </c>
      <c r="Z187">
        <v>90</v>
      </c>
      <c r="AA187">
        <v>90</v>
      </c>
      <c r="AB187">
        <v>90</v>
      </c>
      <c r="AC187">
        <v>90</v>
      </c>
      <c r="AD187">
        <v>90</v>
      </c>
      <c r="AE187">
        <v>90</v>
      </c>
      <c r="AF187">
        <v>90</v>
      </c>
      <c r="AG187">
        <v>90</v>
      </c>
      <c r="AH187">
        <v>90</v>
      </c>
      <c r="AI187">
        <v>90</v>
      </c>
      <c r="AJ187">
        <v>90</v>
      </c>
      <c r="AK187">
        <v>90</v>
      </c>
      <c r="AL187">
        <v>90</v>
      </c>
      <c r="AM187">
        <v>90</v>
      </c>
      <c r="AN187">
        <v>90</v>
      </c>
    </row>
    <row r="188" spans="1:40" x14ac:dyDescent="0.3">
      <c r="B188" t="s">
        <v>225</v>
      </c>
      <c r="G188" s="79">
        <f>G170</f>
        <v>278139</v>
      </c>
      <c r="H188" s="80">
        <f t="shared" ref="H188:T188" si="144">H170</f>
        <v>315385</v>
      </c>
      <c r="I188" s="80">
        <f t="shared" si="144"/>
        <v>320347</v>
      </c>
      <c r="J188" s="80">
        <f t="shared" si="144"/>
        <v>356082</v>
      </c>
      <c r="K188" s="80">
        <f t="shared" si="144"/>
        <v>345859</v>
      </c>
      <c r="L188" s="80">
        <f t="shared" si="144"/>
        <v>386423</v>
      </c>
      <c r="M188" s="80">
        <f t="shared" si="144"/>
        <v>401375</v>
      </c>
      <c r="N188" s="80">
        <f t="shared" si="144"/>
        <v>394103</v>
      </c>
      <c r="O188" s="80">
        <f t="shared" si="144"/>
        <v>382808</v>
      </c>
      <c r="P188" s="80">
        <f t="shared" si="144"/>
        <v>418211.39699137514</v>
      </c>
      <c r="Q188" s="80">
        <f t="shared" si="144"/>
        <v>459672.05195135763</v>
      </c>
      <c r="R188" s="80">
        <f t="shared" si="144"/>
        <v>507022.89329763228</v>
      </c>
      <c r="S188" s="80">
        <f t="shared" si="144"/>
        <v>561216.28123767942</v>
      </c>
      <c r="T188" s="80">
        <f t="shared" si="144"/>
        <v>623250.02206279698</v>
      </c>
      <c r="U188" s="81">
        <f t="shared" ref="U188" si="145">U170</f>
        <v>694287.97991847177</v>
      </c>
      <c r="V188" s="6"/>
      <c r="W188" s="407"/>
      <c r="Y188" t="str">
        <f t="shared" ref="Y188:Y189" si="146">B187</f>
        <v>Revenue</v>
      </c>
      <c r="Z188" s="6">
        <f>G187</f>
        <v>592644</v>
      </c>
      <c r="AA188" s="6">
        <f t="shared" ref="AA188:AN189" si="147">H187</f>
        <v>673510</v>
      </c>
      <c r="AB188" s="6">
        <f t="shared" si="147"/>
        <v>759692</v>
      </c>
      <c r="AC188" s="6">
        <f t="shared" si="147"/>
        <v>868461</v>
      </c>
      <c r="AD188" s="6">
        <f t="shared" si="147"/>
        <v>839254</v>
      </c>
      <c r="AE188" s="6">
        <f t="shared" si="147"/>
        <v>933792</v>
      </c>
      <c r="AF188" s="6">
        <f t="shared" si="147"/>
        <v>989918</v>
      </c>
      <c r="AG188" s="6">
        <f t="shared" si="147"/>
        <v>1046090</v>
      </c>
      <c r="AH188" s="6">
        <f t="shared" si="147"/>
        <v>1134103</v>
      </c>
      <c r="AI188" s="6">
        <f t="shared" si="147"/>
        <v>1248392.2298250003</v>
      </c>
      <c r="AJ188" s="6">
        <f t="shared" si="147"/>
        <v>1382472.3366958124</v>
      </c>
      <c r="AK188" s="6">
        <f t="shared" si="147"/>
        <v>1536433.0099928251</v>
      </c>
      <c r="AL188" s="6">
        <f t="shared" si="147"/>
        <v>1713637.4999623799</v>
      </c>
      <c r="AM188" s="6">
        <f t="shared" si="147"/>
        <v>1917692.3755778368</v>
      </c>
      <c r="AN188" s="6">
        <f t="shared" si="147"/>
        <v>2149498.3898404702</v>
      </c>
    </row>
    <row r="189" spans="1:40" x14ac:dyDescent="0.3">
      <c r="W189" s="407"/>
      <c r="Y189" t="str">
        <f t="shared" si="146"/>
        <v>Cost of Sales</v>
      </c>
      <c r="Z189" s="6">
        <f>G188</f>
        <v>278139</v>
      </c>
      <c r="AA189" s="6">
        <f t="shared" si="147"/>
        <v>315385</v>
      </c>
      <c r="AB189" s="6">
        <f t="shared" si="147"/>
        <v>320347</v>
      </c>
      <c r="AC189" s="6">
        <f t="shared" si="147"/>
        <v>356082</v>
      </c>
      <c r="AD189" s="6">
        <f t="shared" si="147"/>
        <v>345859</v>
      </c>
      <c r="AE189" s="6">
        <f t="shared" si="147"/>
        <v>386423</v>
      </c>
      <c r="AF189" s="6">
        <f t="shared" si="147"/>
        <v>401375</v>
      </c>
      <c r="AG189" s="6">
        <f t="shared" si="147"/>
        <v>394103</v>
      </c>
      <c r="AH189" s="6">
        <f t="shared" si="147"/>
        <v>382808</v>
      </c>
      <c r="AI189" s="6">
        <f t="shared" si="147"/>
        <v>418211.39699137514</v>
      </c>
      <c r="AJ189" s="6">
        <f t="shared" si="147"/>
        <v>459672.05195135763</v>
      </c>
      <c r="AK189" s="6">
        <f t="shared" si="147"/>
        <v>507022.89329763228</v>
      </c>
      <c r="AL189" s="6">
        <f t="shared" si="147"/>
        <v>561216.28123767942</v>
      </c>
      <c r="AM189" s="6">
        <f t="shared" si="147"/>
        <v>623250.02206279698</v>
      </c>
      <c r="AN189" s="6">
        <f t="shared" si="147"/>
        <v>694287.97991847177</v>
      </c>
    </row>
    <row r="190" spans="1:40" x14ac:dyDescent="0.3">
      <c r="W190" s="407"/>
    </row>
    <row r="191" spans="1:40" x14ac:dyDescent="0.3">
      <c r="B191" t="s">
        <v>226</v>
      </c>
      <c r="F191" s="82"/>
      <c r="G191" s="82">
        <f>(G196/G$187)*G186</f>
        <v>31.013863297358952</v>
      </c>
      <c r="H191" s="82">
        <f t="shared" ref="H191:O191" si="148">(H196/H$187)*H186</f>
        <v>28.402117266261818</v>
      </c>
      <c r="I191" s="82">
        <f t="shared" si="148"/>
        <v>30.272278765605005</v>
      </c>
      <c r="J191" s="82">
        <f t="shared" si="148"/>
        <v>28.510212893843246</v>
      </c>
      <c r="K191" s="82">
        <f t="shared" si="148"/>
        <v>26.160625984505288</v>
      </c>
      <c r="L191" s="82">
        <f t="shared" si="148"/>
        <v>23.22039597683424</v>
      </c>
      <c r="M191" s="82">
        <f t="shared" si="148"/>
        <v>28.607306867841579</v>
      </c>
      <c r="N191" s="82">
        <f t="shared" si="148"/>
        <v>24.513169038992821</v>
      </c>
      <c r="O191" s="82">
        <f t="shared" si="148"/>
        <v>28.807304098481353</v>
      </c>
      <c r="P191" s="83">
        <f>Inputs!I10</f>
        <v>28.25</v>
      </c>
      <c r="Q191" s="83">
        <f>Inputs!J10</f>
        <v>28.75</v>
      </c>
      <c r="R191" s="83">
        <f>Inputs!K10</f>
        <v>28.5</v>
      </c>
      <c r="S191" s="83">
        <f>Inputs!L10</f>
        <v>28</v>
      </c>
      <c r="T191" s="83">
        <f>Inputs!M10</f>
        <v>27.75</v>
      </c>
      <c r="U191" s="83">
        <f>Inputs!N10</f>
        <v>27.25</v>
      </c>
      <c r="V191" s="83"/>
      <c r="W191" s="407"/>
      <c r="Y191" t="str">
        <f>B191</f>
        <v>Accounts Recievables Days</v>
      </c>
      <c r="Z191" s="252">
        <f>(Z195/Z188)*Z187</f>
        <v>30.673051612772593</v>
      </c>
      <c r="AA191" s="252">
        <f t="shared" ref="AA191:AH191" si="149">(AA195/AA188)*AA187</f>
        <v>28.090006087511689</v>
      </c>
      <c r="AB191" s="252">
        <f t="shared" si="149"/>
        <v>29.614185748961418</v>
      </c>
      <c r="AC191" s="252">
        <f t="shared" si="149"/>
        <v>28.196913851053761</v>
      </c>
      <c r="AD191" s="252">
        <f t="shared" si="149"/>
        <v>26.160625984505288</v>
      </c>
      <c r="AE191" s="252">
        <f t="shared" si="149"/>
        <v>22.71560475994654</v>
      </c>
      <c r="AF191" s="252">
        <f t="shared" si="149"/>
        <v>27.985408892453719</v>
      </c>
      <c r="AG191" s="252">
        <f t="shared" si="149"/>
        <v>24.243793555047848</v>
      </c>
      <c r="AH191" s="252">
        <f t="shared" si="149"/>
        <v>28.807304098481353</v>
      </c>
      <c r="AI191">
        <v>28</v>
      </c>
      <c r="AJ191">
        <v>27.75</v>
      </c>
      <c r="AK191">
        <v>27.5</v>
      </c>
      <c r="AL191">
        <v>27.25</v>
      </c>
      <c r="AM191">
        <v>27</v>
      </c>
      <c r="AN191">
        <v>26.25</v>
      </c>
    </row>
    <row r="192" spans="1:40" x14ac:dyDescent="0.3">
      <c r="B192" t="s">
        <v>227</v>
      </c>
      <c r="F192" s="82"/>
      <c r="G192" s="82">
        <f>(G197/G$188)*G$186</f>
        <v>87.395845242846192</v>
      </c>
      <c r="H192" s="82">
        <f t="shared" ref="H192:O192" si="150">(H197/H$188)*H$186</f>
        <v>78.623526800577068</v>
      </c>
      <c r="I192" s="82">
        <f t="shared" si="150"/>
        <v>84.112940030654258</v>
      </c>
      <c r="J192" s="82">
        <f t="shared" si="150"/>
        <v>73.567546239349355</v>
      </c>
      <c r="K192" s="82">
        <f t="shared" si="150"/>
        <v>76.345909749348721</v>
      </c>
      <c r="L192" s="82">
        <f t="shared" si="150"/>
        <v>72.422831974287249</v>
      </c>
      <c r="M192" s="82">
        <f t="shared" si="150"/>
        <v>66.171007162877601</v>
      </c>
      <c r="N192" s="82">
        <f t="shared" si="150"/>
        <v>66.525781331276335</v>
      </c>
      <c r="O192" s="82">
        <f t="shared" si="150"/>
        <v>73.224331779900098</v>
      </c>
      <c r="P192" s="83">
        <f>Inputs!I11</f>
        <v>72.25</v>
      </c>
      <c r="Q192" s="83">
        <f>Inputs!J11</f>
        <v>72.5</v>
      </c>
      <c r="R192" s="83">
        <f>Inputs!K11</f>
        <v>73</v>
      </c>
      <c r="S192" s="83">
        <f>Inputs!L11</f>
        <v>73</v>
      </c>
      <c r="T192" s="83">
        <f>Inputs!M11</f>
        <v>72</v>
      </c>
      <c r="U192" s="83">
        <f>Inputs!N11</f>
        <v>72</v>
      </c>
      <c r="V192" s="83"/>
      <c r="W192" s="407"/>
      <c r="Y192" t="str">
        <f t="shared" ref="Y192:Y193" si="151">B192</f>
        <v>Invetory Days</v>
      </c>
      <c r="Z192" s="252">
        <f>(Z196/Z$189)*Z$187</f>
        <v>86.435451339078654</v>
      </c>
      <c r="AA192" s="252">
        <f t="shared" ref="AA192:AH192" si="152">(AA196/AA$189)*AA$187</f>
        <v>77.759532000570729</v>
      </c>
      <c r="AB192" s="252">
        <f t="shared" si="152"/>
        <v>82.284397856074818</v>
      </c>
      <c r="AC192" s="252">
        <f t="shared" si="152"/>
        <v>72.759111665290575</v>
      </c>
      <c r="AD192" s="252">
        <f t="shared" si="152"/>
        <v>76.345909749348721</v>
      </c>
      <c r="AE192" s="252">
        <f t="shared" si="152"/>
        <v>70.848422583541875</v>
      </c>
      <c r="AF192" s="252">
        <f t="shared" si="152"/>
        <v>64.73250700716288</v>
      </c>
      <c r="AG192" s="252">
        <f t="shared" si="152"/>
        <v>65.7947287891744</v>
      </c>
      <c r="AH192" s="252">
        <f t="shared" si="152"/>
        <v>73.224331779900098</v>
      </c>
      <c r="AI192">
        <v>73</v>
      </c>
      <c r="AJ192">
        <v>72</v>
      </c>
      <c r="AK192">
        <v>72.25</v>
      </c>
      <c r="AL192">
        <v>71.5</v>
      </c>
      <c r="AM192">
        <v>70.75</v>
      </c>
      <c r="AN192">
        <v>71.25</v>
      </c>
    </row>
    <row r="193" spans="1:40" x14ac:dyDescent="0.3">
      <c r="B193" t="s">
        <v>228</v>
      </c>
      <c r="F193" s="82"/>
      <c r="G193" s="82">
        <f t="shared" ref="G193:O193" si="153">(G198/G$188)*G$186</f>
        <v>18.848525377598971</v>
      </c>
      <c r="H193" s="82">
        <f t="shared" si="153"/>
        <v>18.451026523138385</v>
      </c>
      <c r="I193" s="82">
        <f t="shared" si="153"/>
        <v>20.33869522736283</v>
      </c>
      <c r="J193" s="82">
        <f t="shared" si="153"/>
        <v>18.96938626496144</v>
      </c>
      <c r="K193" s="82">
        <f t="shared" si="153"/>
        <v>19.999074767463039</v>
      </c>
      <c r="L193" s="82">
        <f t="shared" si="153"/>
        <v>20.182608178084635</v>
      </c>
      <c r="M193" s="82">
        <f t="shared" si="153"/>
        <v>19.800715042042977</v>
      </c>
      <c r="N193" s="82">
        <f t="shared" si="153"/>
        <v>19.472143069197646</v>
      </c>
      <c r="O193" s="82">
        <f t="shared" si="153"/>
        <v>23.476625357881758</v>
      </c>
      <c r="P193" s="83">
        <f>Inputs!I12</f>
        <v>22.75</v>
      </c>
      <c r="Q193" s="83">
        <f>Inputs!J12</f>
        <v>23</v>
      </c>
      <c r="R193" s="83">
        <f>Inputs!K12</f>
        <v>23.5</v>
      </c>
      <c r="S193" s="83">
        <f>Inputs!L12</f>
        <v>24</v>
      </c>
      <c r="T193" s="83">
        <f>Inputs!M12</f>
        <v>23</v>
      </c>
      <c r="U193" s="83">
        <f>Inputs!N12</f>
        <v>24</v>
      </c>
      <c r="V193" s="83"/>
      <c r="W193" s="407"/>
      <c r="Y193" t="str">
        <f t="shared" si="151"/>
        <v>Accounts Payable Days</v>
      </c>
      <c r="Z193" s="252">
        <f>(Z197/Z$189)*Z$187</f>
        <v>18.641398725097883</v>
      </c>
      <c r="AA193" s="252">
        <f t="shared" ref="AA193:AH193" si="154">(AA197/AA$189)*AA$187</f>
        <v>18.248267989917085</v>
      </c>
      <c r="AB193" s="252">
        <f t="shared" si="154"/>
        <v>19.896549678941899</v>
      </c>
      <c r="AC193" s="252">
        <f t="shared" si="154"/>
        <v>18.760931470840987</v>
      </c>
      <c r="AD193" s="252">
        <f t="shared" si="154"/>
        <v>19.999074767463039</v>
      </c>
      <c r="AE193" s="252">
        <f t="shared" si="154"/>
        <v>19.743855826387144</v>
      </c>
      <c r="AF193" s="252">
        <f t="shared" si="154"/>
        <v>19.370264715042044</v>
      </c>
      <c r="AG193" s="252">
        <f t="shared" si="154"/>
        <v>19.258163475030639</v>
      </c>
      <c r="AH193" s="252">
        <f t="shared" si="154"/>
        <v>23.476625357881758</v>
      </c>
      <c r="AI193">
        <v>24</v>
      </c>
      <c r="AJ193">
        <v>24.25</v>
      </c>
      <c r="AK193">
        <v>24.5</v>
      </c>
      <c r="AL193">
        <v>24.75</v>
      </c>
      <c r="AM193">
        <v>25</v>
      </c>
      <c r="AN193">
        <v>25.25</v>
      </c>
    </row>
    <row r="194" spans="1:40" x14ac:dyDescent="0.3">
      <c r="W194" s="407"/>
    </row>
    <row r="195" spans="1:40" x14ac:dyDescent="0.3">
      <c r="B195" t="s">
        <v>229</v>
      </c>
      <c r="W195" s="407"/>
      <c r="Y195" t="str">
        <f>B196</f>
        <v>Accounts Recievables</v>
      </c>
      <c r="Z195" s="6">
        <f>G196</f>
        <v>201980</v>
      </c>
      <c r="AA195" s="6">
        <f t="shared" ref="AA195:AH197" si="155">H196</f>
        <v>210210</v>
      </c>
      <c r="AB195" s="6">
        <f t="shared" si="155"/>
        <v>249974</v>
      </c>
      <c r="AC195" s="6">
        <f t="shared" si="155"/>
        <v>272088</v>
      </c>
      <c r="AD195" s="6">
        <f t="shared" si="155"/>
        <v>243949</v>
      </c>
      <c r="AE195" s="6">
        <f t="shared" si="155"/>
        <v>235685</v>
      </c>
      <c r="AF195" s="6">
        <f t="shared" si="155"/>
        <v>307814</v>
      </c>
      <c r="AG195" s="6">
        <f t="shared" si="155"/>
        <v>281791</v>
      </c>
      <c r="AH195" s="6">
        <f t="shared" si="155"/>
        <v>363005</v>
      </c>
      <c r="AI195" s="120">
        <f>(AI191/AI187)*AI188</f>
        <v>388388.69372333342</v>
      </c>
      <c r="AJ195" s="120">
        <f t="shared" ref="AJ195:AN195" si="156">(AJ191/AJ187)*AJ188</f>
        <v>426262.30381454219</v>
      </c>
      <c r="AK195" s="120">
        <f t="shared" si="156"/>
        <v>469465.64194225217</v>
      </c>
      <c r="AL195" s="120">
        <f t="shared" si="156"/>
        <v>518851.35415527609</v>
      </c>
      <c r="AM195" s="120">
        <f t="shared" si="156"/>
        <v>575307.71267335105</v>
      </c>
      <c r="AN195" s="120">
        <f t="shared" si="156"/>
        <v>626937.03037013719</v>
      </c>
    </row>
    <row r="196" spans="1:40" x14ac:dyDescent="0.3">
      <c r="B196" s="1" t="s">
        <v>230</v>
      </c>
      <c r="F196" s="6"/>
      <c r="G196" s="6">
        <v>201980</v>
      </c>
      <c r="H196" s="6">
        <v>210210</v>
      </c>
      <c r="I196" s="6">
        <v>249974</v>
      </c>
      <c r="J196" s="6">
        <v>272088</v>
      </c>
      <c r="K196" s="6">
        <v>243949</v>
      </c>
      <c r="L196" s="6">
        <v>235685</v>
      </c>
      <c r="M196" s="6">
        <v>307814</v>
      </c>
      <c r="N196" s="6">
        <v>281791</v>
      </c>
      <c r="O196" s="6">
        <v>363005</v>
      </c>
      <c r="P196" s="6">
        <f>(P191/P$186)*P$187</f>
        <v>383337.83144082886</v>
      </c>
      <c r="Q196" s="6">
        <f t="shared" ref="Q196:T196" si="157">(Q191/Q$186)*Q$187</f>
        <v>432022.60521744139</v>
      </c>
      <c r="R196" s="6">
        <f t="shared" si="157"/>
        <v>481190.55807467597</v>
      </c>
      <c r="S196" s="6">
        <f t="shared" si="157"/>
        <v>533131.6666549627</v>
      </c>
      <c r="T196" s="6">
        <f t="shared" si="157"/>
        <v>578434.38502483664</v>
      </c>
      <c r="U196" s="6">
        <f t="shared" ref="U196" si="158">(U191/U$186)*U$187</f>
        <v>636672.07742557395</v>
      </c>
      <c r="V196" s="6"/>
      <c r="W196" s="407"/>
      <c r="Y196" t="str">
        <f t="shared" ref="Y196:Y197" si="159">B197</f>
        <v>Invetory</v>
      </c>
      <c r="Z196" s="6">
        <f t="shared" ref="Z196:Z197" si="160">G197</f>
        <v>267123</v>
      </c>
      <c r="AA196" s="6">
        <f t="shared" si="155"/>
        <v>272491</v>
      </c>
      <c r="AB196" s="6">
        <f t="shared" si="155"/>
        <v>292884</v>
      </c>
      <c r="AC196" s="6">
        <f t="shared" si="155"/>
        <v>287869</v>
      </c>
      <c r="AD196" s="6">
        <f t="shared" si="155"/>
        <v>293388</v>
      </c>
      <c r="AE196" s="6">
        <f t="shared" si="155"/>
        <v>304194</v>
      </c>
      <c r="AF196" s="6">
        <f t="shared" si="155"/>
        <v>288689</v>
      </c>
      <c r="AG196" s="6">
        <f t="shared" si="155"/>
        <v>288110</v>
      </c>
      <c r="AH196" s="6">
        <f t="shared" si="155"/>
        <v>311454</v>
      </c>
      <c r="AI196" s="120">
        <f>(AI192/AI$187)*AI$189</f>
        <v>339215.91089300427</v>
      </c>
      <c r="AJ196" s="120">
        <f t="shared" ref="AJ196:AN197" si="161">(AJ192/AJ$187)*AJ$189</f>
        <v>367737.64156108611</v>
      </c>
      <c r="AK196" s="120">
        <f t="shared" si="161"/>
        <v>407026.71156393259</v>
      </c>
      <c r="AL196" s="120">
        <f t="shared" si="161"/>
        <v>445855.15676104528</v>
      </c>
      <c r="AM196" s="120">
        <f t="shared" si="161"/>
        <v>489943.76734380983</v>
      </c>
      <c r="AN196" s="120">
        <f t="shared" si="161"/>
        <v>549644.65076879016</v>
      </c>
    </row>
    <row r="197" spans="1:40" x14ac:dyDescent="0.3">
      <c r="B197" s="1" t="s">
        <v>231</v>
      </c>
      <c r="F197" s="6"/>
      <c r="G197" s="6">
        <v>267123</v>
      </c>
      <c r="H197" s="6">
        <v>272491</v>
      </c>
      <c r="I197" s="6">
        <v>292884</v>
      </c>
      <c r="J197" s="6">
        <v>287869</v>
      </c>
      <c r="K197" s="6">
        <v>293388</v>
      </c>
      <c r="L197" s="6">
        <v>304194</v>
      </c>
      <c r="M197" s="6">
        <v>288689</v>
      </c>
      <c r="N197" s="6">
        <v>288110</v>
      </c>
      <c r="O197" s="6">
        <v>311454</v>
      </c>
      <c r="P197" s="6">
        <f>(P192/P$186)*P$188</f>
        <v>328432.31991985708</v>
      </c>
      <c r="Q197" s="6">
        <f t="shared" ref="Q197:T197" si="162">(Q192/Q$186)*Q$188</f>
        <v>362241.56267905899</v>
      </c>
      <c r="R197" s="6">
        <f t="shared" si="162"/>
        <v>406732.65066733141</v>
      </c>
      <c r="S197" s="6">
        <f t="shared" si="162"/>
        <v>455208.76144833997</v>
      </c>
      <c r="T197" s="6">
        <f t="shared" si="162"/>
        <v>487760.88683175418</v>
      </c>
      <c r="U197" s="6">
        <f t="shared" ref="U197" si="163">(U192/U$186)*U$188</f>
        <v>543355.81037097797</v>
      </c>
      <c r="V197" s="6"/>
      <c r="W197" s="407"/>
      <c r="Y197" t="str">
        <f t="shared" si="159"/>
        <v>Accounts payable</v>
      </c>
      <c r="Z197" s="6">
        <f t="shared" si="160"/>
        <v>57610</v>
      </c>
      <c r="AA197" s="6">
        <f t="shared" si="155"/>
        <v>63947</v>
      </c>
      <c r="AB197" s="6">
        <f t="shared" si="155"/>
        <v>70820</v>
      </c>
      <c r="AC197" s="6">
        <f t="shared" si="155"/>
        <v>74227</v>
      </c>
      <c r="AD197" s="6">
        <f t="shared" si="155"/>
        <v>76854</v>
      </c>
      <c r="AE197" s="6">
        <f t="shared" si="155"/>
        <v>84772</v>
      </c>
      <c r="AF197" s="6">
        <f t="shared" si="155"/>
        <v>86386</v>
      </c>
      <c r="AG197" s="6">
        <f t="shared" si="155"/>
        <v>84330</v>
      </c>
      <c r="AH197" s="6">
        <f t="shared" si="155"/>
        <v>99856</v>
      </c>
      <c r="AI197" s="120">
        <f>(AI193/AI$187)*AI$189</f>
        <v>111523.03919770004</v>
      </c>
      <c r="AJ197" s="120">
        <f t="shared" si="161"/>
        <v>123856.08066467136</v>
      </c>
      <c r="AK197" s="120">
        <f t="shared" si="161"/>
        <v>138022.89873102211</v>
      </c>
      <c r="AL197" s="120">
        <f t="shared" si="161"/>
        <v>154334.47734036186</v>
      </c>
      <c r="AM197" s="120">
        <f t="shared" si="161"/>
        <v>173125.00612855473</v>
      </c>
      <c r="AN197" s="120">
        <f>(AN193/AN$187)*AN$189</f>
        <v>194786.34992157124</v>
      </c>
    </row>
    <row r="198" spans="1:40" x14ac:dyDescent="0.3">
      <c r="B198" s="1" t="s">
        <v>232</v>
      </c>
      <c r="F198" s="6"/>
      <c r="G198" s="6">
        <v>57610</v>
      </c>
      <c r="H198" s="6">
        <v>63947</v>
      </c>
      <c r="I198" s="6">
        <v>70820</v>
      </c>
      <c r="J198" s="6">
        <v>74227</v>
      </c>
      <c r="K198" s="6">
        <v>76854</v>
      </c>
      <c r="L198" s="6">
        <v>84772</v>
      </c>
      <c r="M198" s="6">
        <v>86386</v>
      </c>
      <c r="N198" s="6">
        <v>84330</v>
      </c>
      <c r="O198" s="6">
        <v>99856</v>
      </c>
      <c r="P198" s="6">
        <f t="shared" ref="P198:T198" si="164">(P193/P$186)*P$188</f>
        <v>103416.40523428026</v>
      </c>
      <c r="Q198" s="6">
        <f t="shared" si="164"/>
        <v>114918.01298783941</v>
      </c>
      <c r="R198" s="6">
        <f t="shared" si="164"/>
        <v>130934.48343400395</v>
      </c>
      <c r="S198" s="6">
        <f t="shared" si="164"/>
        <v>149657.67499671452</v>
      </c>
      <c r="T198" s="6">
        <f t="shared" si="164"/>
        <v>155812.50551569925</v>
      </c>
      <c r="U198" s="6">
        <f t="shared" ref="U198" si="165">(U193/U$186)*U$188</f>
        <v>181118.60345699263</v>
      </c>
      <c r="V198" s="6"/>
      <c r="W198" s="407"/>
    </row>
    <row r="199" spans="1:40" x14ac:dyDescent="0.3">
      <c r="W199" s="407"/>
      <c r="AI199" s="6">
        <f>AH195-AI195</f>
        <v>-25383.693723333417</v>
      </c>
      <c r="AJ199" s="6">
        <f t="shared" ref="AJ199:AN199" si="166">AI195-AJ195</f>
        <v>-37873.610091208771</v>
      </c>
      <c r="AK199" s="6">
        <f t="shared" si="166"/>
        <v>-43203.338127709983</v>
      </c>
      <c r="AL199" s="6">
        <f t="shared" si="166"/>
        <v>-49385.712213023915</v>
      </c>
      <c r="AM199" s="6">
        <f t="shared" si="166"/>
        <v>-56456.358518074965</v>
      </c>
      <c r="AN199" s="6">
        <f t="shared" si="166"/>
        <v>-51629.317696786136</v>
      </c>
    </row>
    <row r="200" spans="1:40" x14ac:dyDescent="0.3">
      <c r="W200" s="407"/>
      <c r="AI200" s="6">
        <f>AH196-AI196</f>
        <v>-27761.910893004271</v>
      </c>
      <c r="AJ200" s="6">
        <f t="shared" ref="AJ200:AN200" si="167">AI196-AJ196</f>
        <v>-28521.730668081844</v>
      </c>
      <c r="AK200" s="6">
        <f t="shared" si="167"/>
        <v>-39289.070002846478</v>
      </c>
      <c r="AL200" s="6">
        <f t="shared" si="167"/>
        <v>-38828.445197112684</v>
      </c>
      <c r="AM200" s="6">
        <f t="shared" si="167"/>
        <v>-44088.610582764552</v>
      </c>
      <c r="AN200" s="6">
        <f t="shared" si="167"/>
        <v>-59700.883424980333</v>
      </c>
    </row>
    <row r="201" spans="1:40" x14ac:dyDescent="0.3">
      <c r="B201" s="84" t="s">
        <v>233</v>
      </c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W201" s="407"/>
      <c r="AI201" s="120">
        <f>AI197-AH197</f>
        <v>11667.03919770004</v>
      </c>
      <c r="AJ201" s="120">
        <f t="shared" ref="AJ201:AN201" si="168">AJ197-AI197</f>
        <v>12333.041466971321</v>
      </c>
      <c r="AK201" s="120">
        <f t="shared" si="168"/>
        <v>14166.818066350752</v>
      </c>
      <c r="AL201" s="120">
        <f t="shared" si="168"/>
        <v>16311.578609339747</v>
      </c>
      <c r="AM201" s="120">
        <f t="shared" si="168"/>
        <v>18790.528788192867</v>
      </c>
      <c r="AN201" s="120">
        <f t="shared" si="168"/>
        <v>21661.343793016509</v>
      </c>
    </row>
    <row r="202" spans="1:40" x14ac:dyDescent="0.3">
      <c r="B202" s="1" t="s">
        <v>230</v>
      </c>
      <c r="G202" s="252"/>
      <c r="H202" s="252"/>
      <c r="I202" s="252"/>
      <c r="J202" s="252"/>
      <c r="K202" s="252"/>
      <c r="L202" s="252"/>
      <c r="M202" s="252"/>
      <c r="N202" s="252"/>
      <c r="O202" s="252"/>
      <c r="P202" s="6">
        <f>O196-P196</f>
        <v>-20332.831440828857</v>
      </c>
      <c r="Q202" s="6">
        <f t="shared" ref="Q202:T202" si="169">P196-Q196</f>
        <v>-48684.773776612536</v>
      </c>
      <c r="R202" s="6">
        <f t="shared" si="169"/>
        <v>-49167.952857234573</v>
      </c>
      <c r="S202" s="6">
        <f t="shared" si="169"/>
        <v>-51941.108580286731</v>
      </c>
      <c r="T202" s="6">
        <f t="shared" si="169"/>
        <v>-45302.718369873939</v>
      </c>
      <c r="U202" s="6">
        <f t="shared" ref="U202" si="170">T196-U196</f>
        <v>-58237.692400737316</v>
      </c>
      <c r="V202" s="6"/>
      <c r="W202" s="407"/>
      <c r="AI202" s="6">
        <f>SUM(AI199:AI201)</f>
        <v>-41478.565418637649</v>
      </c>
      <c r="AJ202" s="6">
        <f t="shared" ref="AJ202:AN202" si="171">SUM(AJ199:AJ201)</f>
        <v>-54062.299292319294</v>
      </c>
      <c r="AK202" s="6">
        <f t="shared" si="171"/>
        <v>-68325.590064205709</v>
      </c>
      <c r="AL202" s="6">
        <f t="shared" si="171"/>
        <v>-71902.578800796851</v>
      </c>
      <c r="AM202" s="6">
        <f t="shared" si="171"/>
        <v>-81754.44031264665</v>
      </c>
      <c r="AN202" s="6">
        <f t="shared" si="171"/>
        <v>-89668.85732874996</v>
      </c>
    </row>
    <row r="203" spans="1:40" x14ac:dyDescent="0.3">
      <c r="B203" s="1" t="s">
        <v>231</v>
      </c>
      <c r="G203" s="252"/>
      <c r="H203" s="252"/>
      <c r="I203" s="252"/>
      <c r="J203" s="252"/>
      <c r="K203" s="252"/>
      <c r="L203" s="252"/>
      <c r="M203" s="252"/>
      <c r="N203" s="252"/>
      <c r="O203" s="252"/>
      <c r="P203" s="6">
        <f>O197-P197</f>
        <v>-16978.31991985708</v>
      </c>
      <c r="Q203" s="6">
        <f t="shared" ref="Q203:T203" si="172">P197-Q197</f>
        <v>-33809.242759201908</v>
      </c>
      <c r="R203" s="6">
        <f t="shared" si="172"/>
        <v>-44491.087988272426</v>
      </c>
      <c r="S203" s="6">
        <f t="shared" si="172"/>
        <v>-48476.110781008552</v>
      </c>
      <c r="T203" s="6">
        <f t="shared" si="172"/>
        <v>-32552.125383414212</v>
      </c>
      <c r="U203" s="6">
        <f t="shared" ref="U203" si="173">T197-U197</f>
        <v>-55594.92353922379</v>
      </c>
      <c r="V203" s="6"/>
      <c r="W203" s="407"/>
    </row>
    <row r="204" spans="1:40" x14ac:dyDescent="0.3">
      <c r="B204" s="1" t="s">
        <v>232</v>
      </c>
      <c r="G204" s="252"/>
      <c r="H204" s="252"/>
      <c r="I204" s="252"/>
      <c r="J204" s="252"/>
      <c r="K204" s="252"/>
      <c r="L204" s="252"/>
      <c r="M204" s="252"/>
      <c r="N204" s="252"/>
      <c r="O204" s="252"/>
      <c r="P204" s="6">
        <f>P198-O198</f>
        <v>3560.4052342802606</v>
      </c>
      <c r="Q204" s="6">
        <f t="shared" ref="Q204:T204" si="174">Q198-P198</f>
        <v>11501.607753559147</v>
      </c>
      <c r="R204" s="6">
        <f t="shared" si="174"/>
        <v>16016.470446164545</v>
      </c>
      <c r="S204" s="6">
        <f t="shared" si="174"/>
        <v>18723.191562710563</v>
      </c>
      <c r="T204" s="6">
        <f t="shared" si="174"/>
        <v>6154.8305189847306</v>
      </c>
      <c r="U204" s="6">
        <f t="shared" ref="U204" si="175">U198-T198</f>
        <v>25306.097941293381</v>
      </c>
      <c r="V204" s="6"/>
      <c r="W204" s="407"/>
    </row>
    <row r="205" spans="1:40" x14ac:dyDescent="0.3">
      <c r="B205" s="85" t="s">
        <v>234</v>
      </c>
      <c r="N205" s="71"/>
      <c r="O205" s="7"/>
      <c r="P205" s="69">
        <f>SUM(P202:P204)</f>
        <v>-33750.746126405676</v>
      </c>
      <c r="Q205" s="69">
        <f t="shared" ref="Q205:U205" si="176">SUM(Q202:Q204)</f>
        <v>-70992.408782255297</v>
      </c>
      <c r="R205" s="69">
        <f t="shared" si="176"/>
        <v>-77642.570399342454</v>
      </c>
      <c r="S205" s="69">
        <f t="shared" si="176"/>
        <v>-81694.027798584721</v>
      </c>
      <c r="T205" s="69">
        <f t="shared" si="176"/>
        <v>-71700.01323430342</v>
      </c>
      <c r="U205" s="69">
        <f t="shared" si="176"/>
        <v>-88526.517998667725</v>
      </c>
      <c r="V205" s="7"/>
      <c r="W205" s="407"/>
    </row>
    <row r="206" spans="1:40" x14ac:dyDescent="0.3">
      <c r="B206" s="85"/>
      <c r="K206" s="7"/>
      <c r="L206" s="7"/>
      <c r="M206" s="7"/>
      <c r="N206" s="7"/>
      <c r="O206" s="7"/>
      <c r="P206" s="7"/>
      <c r="W206" s="407"/>
    </row>
    <row r="207" spans="1:40" x14ac:dyDescent="0.3">
      <c r="N207" s="71"/>
      <c r="O207" s="71"/>
      <c r="W207" s="407"/>
    </row>
    <row r="208" spans="1:40" x14ac:dyDescent="0.3">
      <c r="A208" t="s">
        <v>90</v>
      </c>
      <c r="B208" s="369" t="s">
        <v>236</v>
      </c>
      <c r="C208" s="368"/>
      <c r="D208" s="368"/>
      <c r="E208" s="368"/>
      <c r="F208" s="368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69"/>
      <c r="W208" s="407"/>
    </row>
    <row r="209" spans="2:27" x14ac:dyDescent="0.3">
      <c r="B209" s="4" t="s">
        <v>8</v>
      </c>
      <c r="G209" s="74">
        <f>G183</f>
        <v>45382</v>
      </c>
      <c r="H209" s="74">
        <f t="shared" ref="H209:U209" si="177">H183</f>
        <v>45473</v>
      </c>
      <c r="I209" s="74">
        <f t="shared" si="177"/>
        <v>45565</v>
      </c>
      <c r="J209" s="74">
        <f t="shared" si="177"/>
        <v>45656</v>
      </c>
      <c r="K209" s="74">
        <f t="shared" si="177"/>
        <v>45746</v>
      </c>
      <c r="L209" s="74">
        <f t="shared" si="177"/>
        <v>45838</v>
      </c>
      <c r="M209" s="74">
        <f t="shared" si="177"/>
        <v>45930</v>
      </c>
      <c r="N209" s="74">
        <f t="shared" si="177"/>
        <v>46021</v>
      </c>
      <c r="O209" s="74">
        <f t="shared" si="177"/>
        <v>46111</v>
      </c>
      <c r="P209" s="74">
        <f t="shared" si="177"/>
        <v>46203</v>
      </c>
      <c r="Q209" s="74">
        <f t="shared" si="177"/>
        <v>46295</v>
      </c>
      <c r="R209" s="74">
        <f t="shared" si="177"/>
        <v>46386</v>
      </c>
      <c r="S209" s="74">
        <f t="shared" si="177"/>
        <v>46476</v>
      </c>
      <c r="T209" s="74">
        <f t="shared" si="177"/>
        <v>46568</v>
      </c>
      <c r="U209" s="170" t="str">
        <f t="shared" si="177"/>
        <v>Term</v>
      </c>
      <c r="V209" s="170"/>
      <c r="W209" s="407"/>
    </row>
    <row r="210" spans="2:27" x14ac:dyDescent="0.3">
      <c r="W210" s="407"/>
    </row>
    <row r="211" spans="2:27" x14ac:dyDescent="0.3">
      <c r="W211" s="407"/>
      <c r="X211" s="6"/>
    </row>
    <row r="212" spans="2:27" x14ac:dyDescent="0.3">
      <c r="B212" s="3" t="s">
        <v>237</v>
      </c>
      <c r="G212" s="6">
        <v>181305</v>
      </c>
      <c r="H212" s="6">
        <v>205674</v>
      </c>
      <c r="I212" s="6">
        <v>207079</v>
      </c>
      <c r="J212" s="6">
        <v>361949</v>
      </c>
      <c r="K212" s="6">
        <v>330827</v>
      </c>
      <c r="L212" s="6">
        <v>297226</v>
      </c>
      <c r="M212" s="6">
        <v>287452</v>
      </c>
      <c r="N212" s="6">
        <v>356906</v>
      </c>
      <c r="O212" s="6">
        <v>350763</v>
      </c>
      <c r="P212" s="88">
        <f>P161*30%</f>
        <v>374517.66894750006</v>
      </c>
      <c r="Q212" s="89">
        <f>Q161*29.5%</f>
        <v>407829.33932526462</v>
      </c>
      <c r="R212" s="89">
        <f>R161*29%</f>
        <v>445565.57289791922</v>
      </c>
      <c r="S212" s="89">
        <f>S161*28.5%</f>
        <v>488386.68748927827</v>
      </c>
      <c r="T212" s="89">
        <f>T161*28%</f>
        <v>536953.86516179435</v>
      </c>
      <c r="U212" s="90">
        <f>U161*28%</f>
        <v>601859.54915533168</v>
      </c>
      <c r="V212" s="6"/>
      <c r="W212" s="407"/>
    </row>
    <row r="213" spans="2:27" x14ac:dyDescent="0.3">
      <c r="G213" s="65">
        <f>G212/G161</f>
        <v>0.30592564844999698</v>
      </c>
      <c r="H213" s="65">
        <f t="shared" ref="H213:O213" si="178">H212/H161</f>
        <v>0.30537631215572153</v>
      </c>
      <c r="I213" s="65">
        <f t="shared" si="178"/>
        <v>0.27258283620203977</v>
      </c>
      <c r="J213" s="65">
        <f t="shared" si="178"/>
        <v>0.41677058612879564</v>
      </c>
      <c r="K213" s="65">
        <f t="shared" si="178"/>
        <v>0.39419174647961164</v>
      </c>
      <c r="L213" s="65">
        <f t="shared" si="178"/>
        <v>0.31830000685377474</v>
      </c>
      <c r="M213" s="65">
        <f t="shared" si="178"/>
        <v>0.29037960719978828</v>
      </c>
      <c r="N213" s="65">
        <f t="shared" si="178"/>
        <v>0.34118096913267498</v>
      </c>
      <c r="O213" s="65">
        <f t="shared" si="178"/>
        <v>0.30928672263454027</v>
      </c>
      <c r="P213" s="6"/>
      <c r="Q213" s="6"/>
      <c r="R213" s="6"/>
      <c r="S213" s="6"/>
      <c r="T213" s="6"/>
      <c r="W213" s="407"/>
    </row>
    <row r="214" spans="2:27" x14ac:dyDescent="0.3">
      <c r="W214" s="407"/>
    </row>
    <row r="215" spans="2:27" ht="15.75" x14ac:dyDescent="0.3">
      <c r="B215" s="91" t="s">
        <v>238</v>
      </c>
      <c r="D215" s="3"/>
      <c r="E215" s="3"/>
      <c r="R215" s="3" t="s">
        <v>254</v>
      </c>
      <c r="W215" s="407"/>
      <c r="X215" s="227" t="s">
        <v>544</v>
      </c>
      <c r="Y215" s="227" t="s">
        <v>545</v>
      </c>
    </row>
    <row r="216" spans="2:27" x14ac:dyDescent="0.3">
      <c r="B216" s="92" t="s">
        <v>239</v>
      </c>
      <c r="C216" s="93">
        <f>Inputs!N18</f>
        <v>10</v>
      </c>
      <c r="P216" s="74">
        <f>P209</f>
        <v>46203</v>
      </c>
      <c r="Q216" s="74">
        <f t="shared" ref="Q216:T216" si="179">Q209</f>
        <v>46295</v>
      </c>
      <c r="R216" s="74">
        <f t="shared" si="179"/>
        <v>46386</v>
      </c>
      <c r="S216" s="74">
        <f t="shared" si="179"/>
        <v>46476</v>
      </c>
      <c r="T216" s="74">
        <f t="shared" si="179"/>
        <v>46568</v>
      </c>
      <c r="U216" s="74"/>
      <c r="V216" s="74"/>
      <c r="W216" s="407"/>
      <c r="AA216" t="s">
        <v>548</v>
      </c>
    </row>
    <row r="217" spans="2:27" x14ac:dyDescent="0.3">
      <c r="B217" s="94" t="s">
        <v>240</v>
      </c>
      <c r="C217" s="81">
        <f>Inputs!N23</f>
        <v>6755751.9890000001</v>
      </c>
      <c r="P217" s="95">
        <v>1</v>
      </c>
      <c r="Q217" s="96">
        <v>1</v>
      </c>
      <c r="R217" s="96">
        <v>1</v>
      </c>
      <c r="S217" s="96">
        <v>1</v>
      </c>
      <c r="T217" s="97">
        <v>1</v>
      </c>
      <c r="U217" s="245"/>
      <c r="V217" s="245"/>
      <c r="W217" s="407"/>
      <c r="X217" t="s">
        <v>274</v>
      </c>
      <c r="Z217" s="6">
        <v>1567756</v>
      </c>
    </row>
    <row r="218" spans="2:27" x14ac:dyDescent="0.3">
      <c r="W218" s="407"/>
      <c r="X218" t="s">
        <v>255</v>
      </c>
      <c r="Z218" s="6">
        <v>3212000</v>
      </c>
    </row>
    <row r="219" spans="2:27" ht="15.75" x14ac:dyDescent="0.3">
      <c r="B219" s="91" t="s">
        <v>241</v>
      </c>
      <c r="W219" s="407"/>
      <c r="X219" t="s">
        <v>256</v>
      </c>
      <c r="Z219" s="6">
        <v>870938489</v>
      </c>
      <c r="AA219">
        <v>15</v>
      </c>
    </row>
    <row r="220" spans="2:27" x14ac:dyDescent="0.3">
      <c r="B220" s="92" t="s">
        <v>242</v>
      </c>
      <c r="C220" s="68"/>
      <c r="D220" s="93">
        <f>Inputs!N19</f>
        <v>12</v>
      </c>
      <c r="W220" s="407"/>
      <c r="X220" t="s">
        <v>257</v>
      </c>
      <c r="Z220" s="6">
        <v>5779629826</v>
      </c>
      <c r="AA220">
        <v>5</v>
      </c>
    </row>
    <row r="221" spans="2:27" x14ac:dyDescent="0.3">
      <c r="B221" s="94" t="s">
        <v>522</v>
      </c>
      <c r="C221" s="44"/>
      <c r="D221" s="98">
        <f>Inputs!N17</f>
        <v>1</v>
      </c>
      <c r="M221" s="99" t="s">
        <v>252</v>
      </c>
      <c r="N221" s="99" t="s">
        <v>243</v>
      </c>
      <c r="O221" s="21"/>
      <c r="P221" s="74">
        <f>P216</f>
        <v>46203</v>
      </c>
      <c r="Q221" s="74">
        <f t="shared" ref="Q221:T221" si="180">Q216</f>
        <v>46295</v>
      </c>
      <c r="R221" s="74">
        <f t="shared" si="180"/>
        <v>46386</v>
      </c>
      <c r="S221" s="74">
        <f t="shared" si="180"/>
        <v>46476</v>
      </c>
      <c r="T221" s="74">
        <f t="shared" si="180"/>
        <v>46568</v>
      </c>
      <c r="U221" s="74"/>
      <c r="V221" s="74"/>
      <c r="W221" s="407"/>
      <c r="X221" t="s">
        <v>258</v>
      </c>
      <c r="Z221" s="6">
        <v>105183674</v>
      </c>
      <c r="AA221">
        <v>5</v>
      </c>
    </row>
    <row r="222" spans="2:27" x14ac:dyDescent="0.3">
      <c r="M222" s="126">
        <f>P209</f>
        <v>46203</v>
      </c>
      <c r="N222" s="100">
        <v>48</v>
      </c>
      <c r="O222" s="159"/>
      <c r="P222" s="101">
        <f>IF(O222="",$D$221,MIN($D220-SUM($O222:P222),1))</f>
        <v>1</v>
      </c>
      <c r="Q222" s="101">
        <f ca="1">IF(P222="",$D$221,MIN($D220-SUM($O222:Q222),1))</f>
        <v>1</v>
      </c>
      <c r="R222" s="101">
        <f ca="1">IF(Q222="",$D$221,MIN($D220-SUM($O222:R222),1))</f>
        <v>1</v>
      </c>
      <c r="S222" s="101">
        <f ca="1">IF(R222="",$D$221,MIN($D220-SUM($O222:S222),1))</f>
        <v>1</v>
      </c>
      <c r="T222" s="102">
        <f ca="1">IF(S222="",$D$221,MIN($D220-SUM($O222:T222),1))</f>
        <v>1</v>
      </c>
      <c r="U222" s="246"/>
      <c r="V222" s="104"/>
      <c r="W222" s="407"/>
      <c r="X222" t="s">
        <v>259</v>
      </c>
      <c r="Z222" s="6">
        <v>1293997700</v>
      </c>
    </row>
    <row r="223" spans="2:27" x14ac:dyDescent="0.3">
      <c r="M223" s="127">
        <f>Q209</f>
        <v>46295</v>
      </c>
      <c r="N223" s="103">
        <v>48</v>
      </c>
      <c r="O223" s="160"/>
      <c r="P223" s="104">
        <f t="shared" ref="P223:T226" si="181">O222</f>
        <v>0</v>
      </c>
      <c r="Q223" s="104">
        <f t="shared" si="181"/>
        <v>1</v>
      </c>
      <c r="R223" s="104">
        <f ca="1">Q222</f>
        <v>1</v>
      </c>
      <c r="S223" s="104">
        <f ca="1">R222</f>
        <v>1</v>
      </c>
      <c r="T223" s="105">
        <f ca="1">S222</f>
        <v>1</v>
      </c>
      <c r="U223" s="246"/>
      <c r="V223" s="104"/>
      <c r="W223" s="407"/>
      <c r="Z223" s="384">
        <f>SUM(Z218:Z222)</f>
        <v>8052961689</v>
      </c>
    </row>
    <row r="224" spans="2:27" x14ac:dyDescent="0.3">
      <c r="M224" s="127">
        <f>R209</f>
        <v>46386</v>
      </c>
      <c r="N224" s="103">
        <v>48</v>
      </c>
      <c r="O224" s="160"/>
      <c r="P224" s="104">
        <f>O223</f>
        <v>0</v>
      </c>
      <c r="Q224" s="104">
        <f t="shared" si="181"/>
        <v>0</v>
      </c>
      <c r="R224" s="104">
        <f t="shared" si="181"/>
        <v>1</v>
      </c>
      <c r="S224" s="104">
        <f ca="1">R223</f>
        <v>1</v>
      </c>
      <c r="T224" s="105">
        <f ca="1">S223</f>
        <v>1</v>
      </c>
      <c r="U224" s="246"/>
      <c r="V224" s="104"/>
      <c r="W224" s="407"/>
      <c r="Z224" s="227" t="s">
        <v>546</v>
      </c>
    </row>
    <row r="225" spans="2:26" x14ac:dyDescent="0.3">
      <c r="M225" s="127">
        <f>S209</f>
        <v>46476</v>
      </c>
      <c r="N225" s="103">
        <v>48</v>
      </c>
      <c r="O225" s="160"/>
      <c r="P225" s="104">
        <f t="shared" si="181"/>
        <v>0</v>
      </c>
      <c r="Q225" s="104">
        <f t="shared" si="181"/>
        <v>0</v>
      </c>
      <c r="R225" s="104">
        <f t="shared" si="181"/>
        <v>0</v>
      </c>
      <c r="S225" s="104">
        <f t="shared" si="181"/>
        <v>1</v>
      </c>
      <c r="T225" s="105">
        <f ca="1">S224</f>
        <v>1</v>
      </c>
      <c r="U225" s="246"/>
      <c r="V225" s="104"/>
      <c r="W225" s="407"/>
    </row>
    <row r="226" spans="2:26" x14ac:dyDescent="0.3">
      <c r="M226" s="127">
        <f>T209</f>
        <v>46568</v>
      </c>
      <c r="N226" s="106">
        <v>48</v>
      </c>
      <c r="O226" s="161"/>
      <c r="P226" s="107">
        <f t="shared" si="181"/>
        <v>0</v>
      </c>
      <c r="Q226" s="107">
        <f t="shared" si="181"/>
        <v>0</v>
      </c>
      <c r="R226" s="107">
        <f t="shared" si="181"/>
        <v>0</v>
      </c>
      <c r="S226" s="107">
        <f t="shared" si="181"/>
        <v>0</v>
      </c>
      <c r="T226" s="108">
        <f t="shared" si="181"/>
        <v>1</v>
      </c>
      <c r="U226" s="246"/>
      <c r="V226" s="104"/>
      <c r="W226" s="407"/>
      <c r="Z226" s="383">
        <f>Z219+Z220+Z221</f>
        <v>6755751989</v>
      </c>
    </row>
    <row r="227" spans="2:26" x14ac:dyDescent="0.3">
      <c r="M227" s="125"/>
      <c r="N227" s="21"/>
      <c r="O227" s="21"/>
      <c r="P227" s="22"/>
      <c r="Q227" s="22"/>
      <c r="R227" s="22"/>
      <c r="S227" s="22"/>
      <c r="T227" s="22"/>
      <c r="U227" s="22"/>
      <c r="V227" s="22"/>
      <c r="W227" s="407"/>
      <c r="Z227" s="227" t="s">
        <v>547</v>
      </c>
    </row>
    <row r="228" spans="2:26" x14ac:dyDescent="0.3">
      <c r="M228" s="21"/>
      <c r="N228" s="21"/>
      <c r="O228" s="21"/>
      <c r="P228" s="22"/>
      <c r="Q228" s="22"/>
      <c r="R228" s="22"/>
      <c r="S228" s="22"/>
      <c r="T228" s="22"/>
      <c r="U228" s="22"/>
      <c r="V228" s="22"/>
      <c r="W228" s="407"/>
    </row>
    <row r="229" spans="2:26" x14ac:dyDescent="0.3">
      <c r="M229" s="21"/>
      <c r="N229" s="21"/>
      <c r="O229" s="21"/>
      <c r="P229" s="164" t="s">
        <v>244</v>
      </c>
      <c r="Q229" s="109"/>
      <c r="R229" s="109"/>
      <c r="S229" s="109"/>
      <c r="T229" s="110"/>
      <c r="U229" s="110"/>
      <c r="V229" s="110"/>
      <c r="W229" s="407"/>
    </row>
    <row r="230" spans="2:26" x14ac:dyDescent="0.3">
      <c r="M230" s="99" t="s">
        <v>252</v>
      </c>
      <c r="N230" s="99" t="s">
        <v>245</v>
      </c>
      <c r="O230" s="128" t="s">
        <v>253</v>
      </c>
      <c r="P230" s="74">
        <f>P221</f>
        <v>46203</v>
      </c>
      <c r="Q230" s="74">
        <f t="shared" ref="Q230:T230" si="182">Q221</f>
        <v>46295</v>
      </c>
      <c r="R230" s="74">
        <f t="shared" si="182"/>
        <v>46386</v>
      </c>
      <c r="S230" s="74">
        <f t="shared" si="182"/>
        <v>46476</v>
      </c>
      <c r="T230" s="74">
        <f t="shared" si="182"/>
        <v>46568</v>
      </c>
      <c r="U230" s="74"/>
      <c r="V230" s="74"/>
      <c r="W230" s="407"/>
    </row>
    <row r="231" spans="2:26" x14ac:dyDescent="0.3">
      <c r="M231" s="126">
        <f>M222</f>
        <v>46203</v>
      </c>
      <c r="N231" s="111">
        <f>P212</f>
        <v>374517.66894750006</v>
      </c>
      <c r="O231" s="111">
        <f>N231/N222</f>
        <v>7802.4514364062516</v>
      </c>
      <c r="P231" s="112">
        <f t="shared" ref="P231:T235" si="183">$O231*P222</f>
        <v>7802.4514364062516</v>
      </c>
      <c r="Q231" s="112">
        <f t="shared" ca="1" si="183"/>
        <v>7802.4514364062516</v>
      </c>
      <c r="R231" s="112">
        <f t="shared" ca="1" si="183"/>
        <v>7802.4514364062516</v>
      </c>
      <c r="S231" s="112">
        <f t="shared" ca="1" si="183"/>
        <v>7802.4514364062516</v>
      </c>
      <c r="T231" s="113">
        <f t="shared" ca="1" si="183"/>
        <v>7802.4514364062516</v>
      </c>
      <c r="U231" s="247"/>
      <c r="V231" s="115"/>
      <c r="W231" s="407"/>
    </row>
    <row r="232" spans="2:26" x14ac:dyDescent="0.3">
      <c r="M232" s="127">
        <f>M223</f>
        <v>46295</v>
      </c>
      <c r="N232" s="114">
        <f>Q212</f>
        <v>407829.33932526462</v>
      </c>
      <c r="O232" s="114">
        <f>N232/N223</f>
        <v>8496.4445692763456</v>
      </c>
      <c r="P232" s="115">
        <f t="shared" si="183"/>
        <v>0</v>
      </c>
      <c r="Q232" s="115">
        <f t="shared" si="183"/>
        <v>8496.4445692763456</v>
      </c>
      <c r="R232" s="115">
        <f t="shared" ca="1" si="183"/>
        <v>8496.4445692763456</v>
      </c>
      <c r="S232" s="115">
        <f t="shared" ca="1" si="183"/>
        <v>8496.4445692763456</v>
      </c>
      <c r="T232" s="116">
        <f t="shared" ca="1" si="183"/>
        <v>8496.4445692763456</v>
      </c>
      <c r="U232" s="247"/>
      <c r="V232" s="115"/>
      <c r="W232" s="407"/>
    </row>
    <row r="233" spans="2:26" x14ac:dyDescent="0.3">
      <c r="M233" s="127">
        <f>M224</f>
        <v>46386</v>
      </c>
      <c r="N233" s="114">
        <f>R212</f>
        <v>445565.57289791922</v>
      </c>
      <c r="O233" s="114">
        <f>N233/N224</f>
        <v>9282.6161020399832</v>
      </c>
      <c r="P233" s="115">
        <f t="shared" si="183"/>
        <v>0</v>
      </c>
      <c r="Q233" s="115">
        <f t="shared" si="183"/>
        <v>0</v>
      </c>
      <c r="R233" s="115">
        <f t="shared" si="183"/>
        <v>9282.6161020399832</v>
      </c>
      <c r="S233" s="115">
        <f t="shared" ca="1" si="183"/>
        <v>9282.6161020399832</v>
      </c>
      <c r="T233" s="116">
        <f t="shared" ca="1" si="183"/>
        <v>9282.6161020399832</v>
      </c>
      <c r="U233" s="247"/>
      <c r="V233" s="115"/>
      <c r="W233" s="407"/>
    </row>
    <row r="234" spans="2:26" x14ac:dyDescent="0.3">
      <c r="M234" s="127">
        <f>M225</f>
        <v>46476</v>
      </c>
      <c r="N234" s="114">
        <f>S212</f>
        <v>488386.68748927827</v>
      </c>
      <c r="O234" s="114">
        <f>N234/N225</f>
        <v>10174.72265602663</v>
      </c>
      <c r="P234" s="115">
        <f t="shared" si="183"/>
        <v>0</v>
      </c>
      <c r="Q234" s="115">
        <f t="shared" si="183"/>
        <v>0</v>
      </c>
      <c r="R234" s="115">
        <f t="shared" si="183"/>
        <v>0</v>
      </c>
      <c r="S234" s="115">
        <f t="shared" si="183"/>
        <v>10174.72265602663</v>
      </c>
      <c r="T234" s="116">
        <f t="shared" ca="1" si="183"/>
        <v>10174.72265602663</v>
      </c>
      <c r="U234" s="247"/>
      <c r="V234" s="115"/>
      <c r="W234" s="407"/>
    </row>
    <row r="235" spans="2:26" x14ac:dyDescent="0.3">
      <c r="M235" s="127">
        <f>M226</f>
        <v>46568</v>
      </c>
      <c r="N235" s="117">
        <f>T212</f>
        <v>536953.86516179435</v>
      </c>
      <c r="O235" s="117">
        <f>N235/N226</f>
        <v>11186.538857537382</v>
      </c>
      <c r="P235" s="118">
        <f t="shared" si="183"/>
        <v>0</v>
      </c>
      <c r="Q235" s="118">
        <f t="shared" si="183"/>
        <v>0</v>
      </c>
      <c r="R235" s="118">
        <f t="shared" si="183"/>
        <v>0</v>
      </c>
      <c r="S235" s="118">
        <f t="shared" si="183"/>
        <v>0</v>
      </c>
      <c r="T235" s="119">
        <f t="shared" si="183"/>
        <v>11186.538857537382</v>
      </c>
      <c r="U235" s="247"/>
      <c r="V235" s="115"/>
      <c r="W235" s="407"/>
    </row>
    <row r="236" spans="2:26" x14ac:dyDescent="0.3">
      <c r="M236" s="68"/>
      <c r="W236" s="407"/>
    </row>
    <row r="237" spans="2:26" x14ac:dyDescent="0.3">
      <c r="W237" s="407"/>
    </row>
    <row r="238" spans="2:26" ht="15.75" x14ac:dyDescent="0.3">
      <c r="B238" s="91" t="s">
        <v>246</v>
      </c>
      <c r="W238" s="407"/>
    </row>
    <row r="239" spans="2:26" x14ac:dyDescent="0.3">
      <c r="B239" s="1" t="s">
        <v>247</v>
      </c>
      <c r="P239" s="120">
        <f>($C$217/$C$216)*P217/4</f>
        <v>168893.79972499999</v>
      </c>
      <c r="Q239" s="120">
        <f t="shared" ref="Q239:T239" si="184">($C$217/$C$216)*Q217/4</f>
        <v>168893.79972499999</v>
      </c>
      <c r="R239" s="120">
        <f t="shared" si="184"/>
        <v>168893.79972499999</v>
      </c>
      <c r="S239" s="120">
        <f t="shared" si="184"/>
        <v>168893.79972499999</v>
      </c>
      <c r="T239" s="120">
        <f t="shared" si="184"/>
        <v>168893.79972499999</v>
      </c>
      <c r="U239" s="120"/>
      <c r="V239" s="120"/>
      <c r="W239" s="407"/>
    </row>
    <row r="240" spans="2:26" x14ac:dyDescent="0.3">
      <c r="B240" s="1" t="s">
        <v>248</v>
      </c>
      <c r="P240" s="121">
        <f t="shared" ref="P240:T240" si="185">SUM(P231:P235)</f>
        <v>7802.4514364062516</v>
      </c>
      <c r="Q240" s="121">
        <f t="shared" ca="1" si="185"/>
        <v>16298.896005682596</v>
      </c>
      <c r="R240" s="121">
        <f t="shared" ca="1" si="185"/>
        <v>25581.512107722578</v>
      </c>
      <c r="S240" s="121">
        <f t="shared" ca="1" si="185"/>
        <v>35756.234763749206</v>
      </c>
      <c r="T240" s="121">
        <f t="shared" ca="1" si="185"/>
        <v>46942.773621286586</v>
      </c>
      <c r="U240" s="121"/>
      <c r="V240" s="121"/>
      <c r="W240" s="407"/>
    </row>
    <row r="241" spans="1:23" x14ac:dyDescent="0.3">
      <c r="B241" s="85" t="s">
        <v>249</v>
      </c>
      <c r="P241" s="122">
        <f t="shared" ref="P241:T241" si="186">SUM(P239:P240)</f>
        <v>176696.25116140625</v>
      </c>
      <c r="Q241" s="122">
        <f t="shared" ca="1" si="186"/>
        <v>185192.69573068258</v>
      </c>
      <c r="R241" s="122">
        <f t="shared" ca="1" si="186"/>
        <v>194475.31183272257</v>
      </c>
      <c r="S241" s="122">
        <f t="shared" ca="1" si="186"/>
        <v>204650.0344887492</v>
      </c>
      <c r="T241" s="122">
        <f t="shared" ca="1" si="186"/>
        <v>215836.57334628658</v>
      </c>
      <c r="U241" s="248"/>
      <c r="V241" s="248"/>
      <c r="W241" s="407"/>
    </row>
    <row r="242" spans="1:23" x14ac:dyDescent="0.3">
      <c r="W242" s="407"/>
    </row>
    <row r="243" spans="1:23" x14ac:dyDescent="0.3">
      <c r="W243" s="407"/>
    </row>
    <row r="244" spans="1:23" x14ac:dyDescent="0.3">
      <c r="W244" s="407"/>
    </row>
    <row r="245" spans="1:23" x14ac:dyDescent="0.3">
      <c r="T245" s="123" t="s">
        <v>250</v>
      </c>
      <c r="W245" s="407"/>
    </row>
    <row r="246" spans="1:23" x14ac:dyDescent="0.3">
      <c r="T246" s="124" t="s">
        <v>251</v>
      </c>
      <c r="W246" s="407"/>
    </row>
    <row r="247" spans="1:23" x14ac:dyDescent="0.3">
      <c r="M247" s="124"/>
      <c r="W247" s="407"/>
    </row>
    <row r="248" spans="1:23" x14ac:dyDescent="0.3">
      <c r="W248" s="407"/>
    </row>
    <row r="249" spans="1:23" x14ac:dyDescent="0.3">
      <c r="A249" t="s">
        <v>90</v>
      </c>
      <c r="B249" s="369" t="s">
        <v>260</v>
      </c>
      <c r="C249" s="368"/>
      <c r="D249" s="368"/>
      <c r="E249" s="368"/>
      <c r="F249" s="368"/>
      <c r="G249" s="371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69"/>
      <c r="W249" s="407"/>
    </row>
    <row r="250" spans="1:23" x14ac:dyDescent="0.3">
      <c r="B250" s="4" t="s">
        <v>8</v>
      </c>
      <c r="G250" s="74">
        <f>G209</f>
        <v>45382</v>
      </c>
      <c r="H250" s="74">
        <f t="shared" ref="H250:U250" si="187">H209</f>
        <v>45473</v>
      </c>
      <c r="I250" s="74">
        <f t="shared" si="187"/>
        <v>45565</v>
      </c>
      <c r="J250" s="74">
        <f t="shared" si="187"/>
        <v>45656</v>
      </c>
      <c r="K250" s="74">
        <f t="shared" si="187"/>
        <v>45746</v>
      </c>
      <c r="L250" s="74">
        <f t="shared" si="187"/>
        <v>45838</v>
      </c>
      <c r="M250" s="74">
        <f t="shared" si="187"/>
        <v>45930</v>
      </c>
      <c r="N250" s="74">
        <f t="shared" si="187"/>
        <v>46021</v>
      </c>
      <c r="O250" s="74">
        <f t="shared" si="187"/>
        <v>46111</v>
      </c>
      <c r="P250" s="74">
        <f t="shared" si="187"/>
        <v>46203</v>
      </c>
      <c r="Q250" s="74">
        <f t="shared" si="187"/>
        <v>46295</v>
      </c>
      <c r="R250" s="74">
        <f t="shared" si="187"/>
        <v>46386</v>
      </c>
      <c r="S250" s="74">
        <f t="shared" si="187"/>
        <v>46476</v>
      </c>
      <c r="T250" s="74">
        <f t="shared" si="187"/>
        <v>46568</v>
      </c>
      <c r="U250" s="170" t="str">
        <f t="shared" si="187"/>
        <v>Term</v>
      </c>
      <c r="V250" s="170"/>
      <c r="W250" s="407"/>
    </row>
    <row r="251" spans="1:23" x14ac:dyDescent="0.3">
      <c r="W251" s="407"/>
    </row>
    <row r="252" spans="1:23" x14ac:dyDescent="0.3">
      <c r="W252" s="407"/>
    </row>
    <row r="253" spans="1:23" x14ac:dyDescent="0.3">
      <c r="B253" t="s">
        <v>261</v>
      </c>
      <c r="G253" s="6">
        <f>G212</f>
        <v>181305</v>
      </c>
      <c r="H253" s="6">
        <f t="shared" ref="H253:U253" si="188">H212</f>
        <v>205674</v>
      </c>
      <c r="I253" s="6">
        <f t="shared" si="188"/>
        <v>207079</v>
      </c>
      <c r="J253" s="6">
        <f t="shared" si="188"/>
        <v>361949</v>
      </c>
      <c r="K253" s="6">
        <f t="shared" si="188"/>
        <v>330827</v>
      </c>
      <c r="L253" s="6">
        <f t="shared" si="188"/>
        <v>297226</v>
      </c>
      <c r="M253" s="6">
        <f t="shared" si="188"/>
        <v>287452</v>
      </c>
      <c r="N253" s="6">
        <f t="shared" si="188"/>
        <v>356906</v>
      </c>
      <c r="O253" s="6">
        <f t="shared" si="188"/>
        <v>350763</v>
      </c>
      <c r="P253" s="88">
        <f t="shared" si="188"/>
        <v>374517.66894750006</v>
      </c>
      <c r="Q253" s="89">
        <f t="shared" si="188"/>
        <v>407829.33932526462</v>
      </c>
      <c r="R253" s="89">
        <f t="shared" si="188"/>
        <v>445565.57289791922</v>
      </c>
      <c r="S253" s="89">
        <f t="shared" si="188"/>
        <v>488386.68748927827</v>
      </c>
      <c r="T253" s="89">
        <f t="shared" si="188"/>
        <v>536953.86516179435</v>
      </c>
      <c r="U253" s="90">
        <f t="shared" si="188"/>
        <v>601859.54915533168</v>
      </c>
      <c r="V253" s="6"/>
      <c r="W253" s="407"/>
    </row>
    <row r="254" spans="1:23" x14ac:dyDescent="0.3">
      <c r="W254" s="407"/>
    </row>
    <row r="255" spans="1:23" x14ac:dyDescent="0.3">
      <c r="B255" s="92" t="s">
        <v>262</v>
      </c>
      <c r="C255" s="68"/>
      <c r="D255" s="68"/>
      <c r="E255" s="129">
        <f>Inputs!F18</f>
        <v>0.4</v>
      </c>
      <c r="J255" s="6"/>
      <c r="K255" s="6"/>
      <c r="L255" s="6"/>
      <c r="M255" s="6"/>
      <c r="N255" s="6"/>
      <c r="W255" s="407"/>
    </row>
    <row r="256" spans="1:23" x14ac:dyDescent="0.3">
      <c r="B256" s="94" t="s">
        <v>263</v>
      </c>
      <c r="C256" s="44"/>
      <c r="D256" s="44"/>
      <c r="E256" s="130">
        <f>Inputs!F19</f>
        <v>0.2</v>
      </c>
      <c r="J256" s="6"/>
      <c r="K256" s="6"/>
      <c r="L256" s="6"/>
      <c r="M256" s="6"/>
      <c r="N256" s="6"/>
      <c r="W256" s="407"/>
    </row>
    <row r="257" spans="2:24" x14ac:dyDescent="0.3">
      <c r="D257" s="131"/>
      <c r="I257" s="6"/>
      <c r="J257" s="6"/>
      <c r="K257" s="6"/>
      <c r="L257" s="6"/>
      <c r="M257" s="6"/>
      <c r="W257" s="407"/>
    </row>
    <row r="258" spans="2:24" x14ac:dyDescent="0.3">
      <c r="D258" s="131"/>
      <c r="K258" s="6"/>
      <c r="L258" s="6"/>
      <c r="M258" s="6"/>
      <c r="N258" s="6"/>
      <c r="O258" s="6"/>
      <c r="W258" s="407"/>
    </row>
    <row r="259" spans="2:24" ht="15.75" x14ac:dyDescent="0.3">
      <c r="B259" s="91" t="s">
        <v>264</v>
      </c>
      <c r="K259" s="6"/>
      <c r="L259" s="6"/>
      <c r="M259" s="6"/>
      <c r="N259" s="6"/>
      <c r="O259" s="6"/>
      <c r="W259" s="407"/>
    </row>
    <row r="260" spans="2:24" x14ac:dyDescent="0.3">
      <c r="B260" s="1" t="s">
        <v>265</v>
      </c>
      <c r="P260" s="6">
        <f t="shared" ref="P260:T260" si="189">O264</f>
        <v>3954679</v>
      </c>
      <c r="Q260" s="6">
        <f t="shared" si="189"/>
        <v>4152500.4177860939</v>
      </c>
      <c r="R260" s="6">
        <f t="shared" ca="1" si="189"/>
        <v>4375137.061380676</v>
      </c>
      <c r="S260" s="6">
        <f t="shared" ca="1" si="189"/>
        <v>4626227.3224458732</v>
      </c>
      <c r="T260" s="6">
        <f t="shared" ca="1" si="189"/>
        <v>4909963.975446403</v>
      </c>
      <c r="U260" s="6"/>
      <c r="V260" s="6"/>
      <c r="W260" s="407"/>
    </row>
    <row r="261" spans="2:24" x14ac:dyDescent="0.3">
      <c r="B261" s="1" t="s">
        <v>261</v>
      </c>
      <c r="P261" s="6">
        <f>P253</f>
        <v>374517.66894750006</v>
      </c>
      <c r="Q261" s="6">
        <f t="shared" ref="Q261:T261" si="190">Q253</f>
        <v>407829.33932526462</v>
      </c>
      <c r="R261" s="6">
        <f t="shared" si="190"/>
        <v>445565.57289791922</v>
      </c>
      <c r="S261" s="6">
        <f t="shared" si="190"/>
        <v>488386.68748927827</v>
      </c>
      <c r="T261" s="6">
        <f t="shared" si="190"/>
        <v>536953.86516179435</v>
      </c>
      <c r="U261" s="6"/>
      <c r="V261" s="6"/>
      <c r="W261" s="407"/>
    </row>
    <row r="262" spans="2:24" x14ac:dyDescent="0.3">
      <c r="B262" s="1" t="s">
        <v>266</v>
      </c>
      <c r="P262" s="6">
        <f t="shared" ref="P262:T262" si="191">K619*-1</f>
        <v>0</v>
      </c>
      <c r="Q262" s="6">
        <f t="shared" si="191"/>
        <v>0</v>
      </c>
      <c r="R262" s="6">
        <f t="shared" si="191"/>
        <v>0</v>
      </c>
      <c r="S262" s="6">
        <f t="shared" si="191"/>
        <v>0</v>
      </c>
      <c r="T262" s="6">
        <f t="shared" si="191"/>
        <v>0</v>
      </c>
      <c r="U262" s="6"/>
      <c r="V262" s="6"/>
      <c r="W262" s="407"/>
    </row>
    <row r="263" spans="2:24" x14ac:dyDescent="0.3">
      <c r="B263" s="1" t="s">
        <v>267</v>
      </c>
      <c r="P263" s="6">
        <f>P241*-1</f>
        <v>-176696.25116140625</v>
      </c>
      <c r="Q263" s="6">
        <f t="shared" ref="Q263:T263" ca="1" si="192">Q241*-1</f>
        <v>-185192.69573068258</v>
      </c>
      <c r="R263" s="6">
        <f t="shared" ca="1" si="192"/>
        <v>-194475.31183272257</v>
      </c>
      <c r="S263" s="6">
        <f t="shared" ca="1" si="192"/>
        <v>-204650.0344887492</v>
      </c>
      <c r="T263" s="6">
        <f t="shared" ca="1" si="192"/>
        <v>-215836.57334628658</v>
      </c>
      <c r="U263" s="6"/>
      <c r="V263" s="6"/>
      <c r="W263" s="407"/>
    </row>
    <row r="264" spans="2:24" x14ac:dyDescent="0.3">
      <c r="B264" s="85" t="s">
        <v>268</v>
      </c>
      <c r="O264" s="69">
        <f>Inputs!N21</f>
        <v>3954679</v>
      </c>
      <c r="P264" s="69">
        <f t="shared" ref="P264:T264" si="193">SUM(P260:P263)</f>
        <v>4152500.4177860939</v>
      </c>
      <c r="Q264" s="69">
        <f t="shared" ca="1" si="193"/>
        <v>4375137.061380676</v>
      </c>
      <c r="R264" s="69">
        <f t="shared" ca="1" si="193"/>
        <v>4626227.3224458732</v>
      </c>
      <c r="S264" s="69">
        <f t="shared" ca="1" si="193"/>
        <v>4909963.975446403</v>
      </c>
      <c r="T264" s="69">
        <f t="shared" ca="1" si="193"/>
        <v>5231081.2672619103</v>
      </c>
      <c r="U264" s="7"/>
      <c r="V264" s="7"/>
      <c r="W264" s="407"/>
    </row>
    <row r="265" spans="2:24" x14ac:dyDescent="0.3">
      <c r="B265" s="85"/>
      <c r="O265" s="6"/>
      <c r="P265" s="6"/>
      <c r="Q265" s="6"/>
      <c r="R265" s="6"/>
      <c r="S265" s="6"/>
      <c r="T265" s="6"/>
      <c r="U265" s="6"/>
      <c r="V265" s="6"/>
      <c r="W265" s="407"/>
    </row>
    <row r="266" spans="2:24" x14ac:dyDescent="0.3">
      <c r="B266" s="1" t="s">
        <v>269</v>
      </c>
      <c r="O266" s="6">
        <v>1567.7560000000001</v>
      </c>
      <c r="P266" s="6">
        <f>O266</f>
        <v>1567.7560000000001</v>
      </c>
      <c r="Q266" s="6">
        <f t="shared" ref="Q266:T266" si="194">P266</f>
        <v>1567.7560000000001</v>
      </c>
      <c r="R266" s="6">
        <f t="shared" si="194"/>
        <v>1567.7560000000001</v>
      </c>
      <c r="S266" s="6">
        <f t="shared" si="194"/>
        <v>1567.7560000000001</v>
      </c>
      <c r="T266" s="6">
        <f t="shared" si="194"/>
        <v>1567.7560000000001</v>
      </c>
      <c r="U266" s="6"/>
      <c r="V266" s="6"/>
      <c r="W266" s="407"/>
    </row>
    <row r="267" spans="2:24" x14ac:dyDescent="0.3">
      <c r="B267" s="85" t="s">
        <v>270</v>
      </c>
      <c r="D267" s="3"/>
      <c r="E267" s="3"/>
      <c r="F267" s="3"/>
      <c r="G267" s="3"/>
      <c r="O267" s="69">
        <f>O264+O266</f>
        <v>3956246.7560000001</v>
      </c>
      <c r="P267" s="69">
        <f t="shared" ref="P267" si="195">P264+P266</f>
        <v>4154068.1737860939</v>
      </c>
      <c r="Q267" s="69">
        <f ca="1">Q264+Q266</f>
        <v>4376704.817380676</v>
      </c>
      <c r="R267" s="69">
        <f ca="1">R264+R266</f>
        <v>4627795.0784458732</v>
      </c>
      <c r="S267" s="69">
        <f ca="1">S264+S266</f>
        <v>4911531.7314464031</v>
      </c>
      <c r="T267" s="69">
        <f ca="1">T264+T266</f>
        <v>5232649.0232619103</v>
      </c>
      <c r="U267" s="7"/>
      <c r="V267" s="7"/>
      <c r="W267" s="407"/>
    </row>
    <row r="268" spans="2:24" x14ac:dyDescent="0.3">
      <c r="C268" s="3"/>
      <c r="D268" s="3"/>
      <c r="E268" s="3"/>
      <c r="F268" s="3"/>
      <c r="G268" s="3"/>
      <c r="O268" s="7"/>
      <c r="P268" s="7"/>
      <c r="Q268" s="7"/>
      <c r="R268" s="7"/>
      <c r="S268" s="7"/>
      <c r="T268" s="7"/>
      <c r="U268" s="7"/>
      <c r="V268" s="7"/>
      <c r="W268" s="407"/>
    </row>
    <row r="269" spans="2:24" x14ac:dyDescent="0.3">
      <c r="P269" s="6"/>
      <c r="Q269" s="6"/>
      <c r="R269" s="6"/>
      <c r="S269" s="6"/>
      <c r="T269" s="6"/>
      <c r="U269" s="6"/>
      <c r="V269" s="6"/>
      <c r="W269" s="407"/>
    </row>
    <row r="270" spans="2:24" ht="15.75" x14ac:dyDescent="0.3">
      <c r="B270" s="91" t="s">
        <v>271</v>
      </c>
      <c r="P270" s="6"/>
      <c r="Q270" s="6"/>
      <c r="R270" s="6"/>
      <c r="S270" s="6"/>
      <c r="T270" s="6"/>
      <c r="U270" s="6"/>
      <c r="V270" s="6"/>
      <c r="W270" s="407"/>
    </row>
    <row r="271" spans="2:24" x14ac:dyDescent="0.3">
      <c r="B271" s="1" t="s">
        <v>265</v>
      </c>
      <c r="P271" s="6">
        <f>O274</f>
        <v>4108129.3250000002</v>
      </c>
      <c r="Q271" s="6">
        <f t="shared" ref="Q271:T271" si="196">P274</f>
        <v>4124035.2344317003</v>
      </c>
      <c r="R271" s="6">
        <f t="shared" si="196"/>
        <v>4169315.4078564076</v>
      </c>
      <c r="S271" s="6">
        <f t="shared" si="196"/>
        <v>4245690.5022939807</v>
      </c>
      <c r="T271" s="6">
        <f t="shared" si="196"/>
        <v>4355351.0146005983</v>
      </c>
      <c r="U271" s="6"/>
      <c r="V271" s="6"/>
      <c r="W271" s="407"/>
      <c r="X271" s="6"/>
    </row>
    <row r="272" spans="2:24" x14ac:dyDescent="0.3">
      <c r="B272" s="1" t="s">
        <v>261</v>
      </c>
      <c r="P272" s="6">
        <f>P261</f>
        <v>374517.66894750006</v>
      </c>
      <c r="Q272" s="6">
        <f t="shared" ref="Q272:T272" si="197">Q261</f>
        <v>407829.33932526462</v>
      </c>
      <c r="R272" s="6">
        <f t="shared" si="197"/>
        <v>445565.57289791922</v>
      </c>
      <c r="S272" s="6">
        <f t="shared" si="197"/>
        <v>488386.68748927827</v>
      </c>
      <c r="T272" s="6">
        <f t="shared" si="197"/>
        <v>536953.86516179435</v>
      </c>
      <c r="U272" s="6"/>
      <c r="V272" s="6"/>
      <c r="W272" s="407"/>
    </row>
    <row r="273" spans="1:25" x14ac:dyDescent="0.3">
      <c r="B273" s="1" t="s">
        <v>272</v>
      </c>
      <c r="P273" s="132">
        <f>((P271+P272)*$E$255)*$E$256*-1</f>
        <v>-358611.75951580005</v>
      </c>
      <c r="Q273" s="132">
        <f t="shared" ref="Q273:S273" si="198">((Q271+Q272)*$E$255)*$E$256*-1</f>
        <v>-362549.16590055724</v>
      </c>
      <c r="R273" s="132">
        <f t="shared" si="198"/>
        <v>-369190.47846034617</v>
      </c>
      <c r="S273" s="132">
        <f t="shared" si="198"/>
        <v>-378726.17518266081</v>
      </c>
      <c r="T273" s="132">
        <f>((T271+T272)*$E$255)*$E$256*-1</f>
        <v>-391384.39038099145</v>
      </c>
      <c r="U273" s="132"/>
      <c r="V273" s="132"/>
      <c r="W273" s="407"/>
    </row>
    <row r="274" spans="1:25" x14ac:dyDescent="0.3">
      <c r="B274" s="85" t="s">
        <v>268</v>
      </c>
      <c r="O274" s="133">
        <f>Inputs!F20</f>
        <v>4108129.3250000002</v>
      </c>
      <c r="P274" s="69">
        <f t="shared" ref="P274:T274" si="199">SUM(P271:P273)</f>
        <v>4124035.2344317003</v>
      </c>
      <c r="Q274" s="69">
        <f t="shared" si="199"/>
        <v>4169315.4078564076</v>
      </c>
      <c r="R274" s="69">
        <f t="shared" si="199"/>
        <v>4245690.5022939807</v>
      </c>
      <c r="S274" s="69">
        <f t="shared" si="199"/>
        <v>4355351.0146005983</v>
      </c>
      <c r="T274" s="69">
        <f t="shared" si="199"/>
        <v>4500920.4893814009</v>
      </c>
      <c r="U274" s="7"/>
      <c r="V274" s="7"/>
      <c r="W274" s="407"/>
      <c r="Y274" s="6"/>
    </row>
    <row r="275" spans="1:25" x14ac:dyDescent="0.3">
      <c r="C275" s="3"/>
      <c r="D275" s="3"/>
      <c r="E275" s="3"/>
      <c r="F275" s="3"/>
      <c r="G275" s="3"/>
      <c r="O275" s="134"/>
      <c r="P275" s="134"/>
      <c r="Q275" s="134"/>
      <c r="R275" s="134"/>
      <c r="S275" s="134"/>
      <c r="T275" s="134"/>
      <c r="W275" s="407"/>
    </row>
    <row r="276" spans="1:25" x14ac:dyDescent="0.3">
      <c r="D276" s="131"/>
      <c r="P276" s="6"/>
      <c r="Q276" s="6"/>
      <c r="R276" s="6"/>
      <c r="S276" s="6"/>
      <c r="T276" s="6"/>
      <c r="W276" s="407"/>
    </row>
    <row r="277" spans="1:25" x14ac:dyDescent="0.3">
      <c r="P277" s="6"/>
      <c r="Q277" s="6"/>
      <c r="R277" s="6"/>
      <c r="S277" s="6"/>
      <c r="T277" s="6"/>
      <c r="W277" s="407"/>
    </row>
    <row r="278" spans="1:25" x14ac:dyDescent="0.3">
      <c r="P278" s="6"/>
      <c r="Q278" s="6"/>
      <c r="R278" s="6"/>
      <c r="S278" s="6"/>
      <c r="T278" s="123" t="s">
        <v>273</v>
      </c>
      <c r="W278" s="407"/>
    </row>
    <row r="279" spans="1:25" x14ac:dyDescent="0.3">
      <c r="W279" s="407"/>
    </row>
    <row r="280" spans="1:25" x14ac:dyDescent="0.3">
      <c r="W280" s="407"/>
    </row>
    <row r="281" spans="1:25" x14ac:dyDescent="0.3">
      <c r="A281" t="s">
        <v>90</v>
      </c>
      <c r="B281" s="369" t="s">
        <v>298</v>
      </c>
      <c r="C281" s="368"/>
      <c r="D281" s="368"/>
      <c r="E281" s="368"/>
      <c r="F281" s="368"/>
      <c r="G281" s="371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69"/>
      <c r="W281" s="407"/>
    </row>
    <row r="282" spans="1:25" x14ac:dyDescent="0.3">
      <c r="B282" s="4" t="s">
        <v>8</v>
      </c>
      <c r="G282" s="74">
        <f>G250</f>
        <v>45382</v>
      </c>
      <c r="H282" s="74">
        <f t="shared" ref="H282:U282" si="200">H250</f>
        <v>45473</v>
      </c>
      <c r="I282" s="74">
        <f t="shared" si="200"/>
        <v>45565</v>
      </c>
      <c r="J282" s="74">
        <f t="shared" si="200"/>
        <v>45656</v>
      </c>
      <c r="K282" s="74">
        <f t="shared" si="200"/>
        <v>45746</v>
      </c>
      <c r="L282" s="74">
        <f t="shared" si="200"/>
        <v>45838</v>
      </c>
      <c r="M282" s="74">
        <f t="shared" si="200"/>
        <v>45930</v>
      </c>
      <c r="N282" s="74">
        <f t="shared" si="200"/>
        <v>46021</v>
      </c>
      <c r="O282" s="74">
        <f t="shared" si="200"/>
        <v>46111</v>
      </c>
      <c r="P282" s="74">
        <f t="shared" si="200"/>
        <v>46203</v>
      </c>
      <c r="Q282" s="74">
        <f t="shared" si="200"/>
        <v>46295</v>
      </c>
      <c r="R282" s="74">
        <f t="shared" si="200"/>
        <v>46386</v>
      </c>
      <c r="S282" s="74">
        <f t="shared" si="200"/>
        <v>46476</v>
      </c>
      <c r="T282" s="74">
        <f t="shared" si="200"/>
        <v>46568</v>
      </c>
      <c r="U282" s="170" t="str">
        <f t="shared" si="200"/>
        <v>Term</v>
      </c>
      <c r="V282" s="170"/>
      <c r="W282" s="407"/>
    </row>
    <row r="283" spans="1:25" x14ac:dyDescent="0.3">
      <c r="W283" s="407"/>
    </row>
    <row r="284" spans="1:25" x14ac:dyDescent="0.3">
      <c r="W284" s="407"/>
    </row>
    <row r="285" spans="1:25" x14ac:dyDescent="0.3">
      <c r="B285" t="s">
        <v>275</v>
      </c>
      <c r="P285" s="6">
        <f t="shared" ref="P285:U285" ca="1" si="201">P23</f>
        <v>755830.72915089049</v>
      </c>
      <c r="Q285" s="6">
        <f t="shared" ca="1" si="201"/>
        <v>844690.16295054695</v>
      </c>
      <c r="R285" s="6">
        <f t="shared" ca="1" si="201"/>
        <v>945401.72654113057</v>
      </c>
      <c r="S285" s="6">
        <f t="shared" ca="1" si="201"/>
        <v>1060647.5010991991</v>
      </c>
      <c r="T285" s="6">
        <f t="shared" ca="1" si="201"/>
        <v>1192020.1083803391</v>
      </c>
      <c r="U285" s="6">
        <f t="shared" ca="1" si="201"/>
        <v>1344082.8876390711</v>
      </c>
      <c r="V285" s="6"/>
      <c r="W285" s="407"/>
    </row>
    <row r="286" spans="1:25" x14ac:dyDescent="0.3">
      <c r="B286" t="s">
        <v>276</v>
      </c>
      <c r="P286" s="135">
        <f t="shared" ref="P286:U286" ca="1" si="202">IF(P300&gt;0,1,0)</f>
        <v>1</v>
      </c>
      <c r="Q286" s="135">
        <f t="shared" ca="1" si="202"/>
        <v>1</v>
      </c>
      <c r="R286" s="135">
        <f t="shared" ca="1" si="202"/>
        <v>1</v>
      </c>
      <c r="S286" s="135">
        <f t="shared" ca="1" si="202"/>
        <v>1</v>
      </c>
      <c r="T286" s="135">
        <f t="shared" ca="1" si="202"/>
        <v>1</v>
      </c>
      <c r="U286" s="135">
        <f t="shared" ca="1" si="202"/>
        <v>1</v>
      </c>
      <c r="V286" s="135"/>
      <c r="W286" s="407"/>
    </row>
    <row r="287" spans="1:25" x14ac:dyDescent="0.3">
      <c r="W287" s="407"/>
    </row>
    <row r="288" spans="1:25" x14ac:dyDescent="0.3">
      <c r="B288" s="136" t="s">
        <v>277</v>
      </c>
      <c r="C288" s="137"/>
      <c r="D288" s="165"/>
      <c r="E288" s="138">
        <f>Inputs!F17</f>
        <v>0.16</v>
      </c>
      <c r="F288" s="21"/>
      <c r="G288" s="21"/>
      <c r="H288" s="21"/>
      <c r="I288" s="22"/>
      <c r="O288" s="22"/>
      <c r="P288" s="22"/>
      <c r="Q288" s="22"/>
      <c r="R288" s="22"/>
      <c r="W288" s="407"/>
    </row>
    <row r="289" spans="2:23" x14ac:dyDescent="0.3">
      <c r="B289" s="139" t="s">
        <v>278</v>
      </c>
      <c r="C289" s="140"/>
      <c r="D289" s="166"/>
      <c r="E289" s="141">
        <f ca="1">IF(T309=0,0,1)</f>
        <v>0</v>
      </c>
      <c r="F289" s="132"/>
      <c r="G289" s="142"/>
      <c r="H289" s="132"/>
      <c r="I289" s="132"/>
      <c r="O289" s="132"/>
      <c r="P289" s="132"/>
      <c r="Q289" s="132"/>
      <c r="W289" s="407"/>
    </row>
    <row r="290" spans="2:23" x14ac:dyDescent="0.3">
      <c r="B290" s="64"/>
      <c r="C290" s="14"/>
      <c r="D290" s="143"/>
      <c r="E290" s="21"/>
      <c r="F290" s="21"/>
      <c r="G290" s="21"/>
      <c r="H290" s="21"/>
      <c r="I290" s="22"/>
      <c r="O290" s="22"/>
      <c r="P290" s="22"/>
      <c r="Q290" s="22"/>
      <c r="R290" s="22"/>
      <c r="W290" s="407"/>
    </row>
    <row r="291" spans="2:23" x14ac:dyDescent="0.3">
      <c r="B291" s="64"/>
      <c r="C291" s="14"/>
      <c r="D291" s="143"/>
      <c r="E291" s="21"/>
      <c r="F291" s="21"/>
      <c r="G291" s="21"/>
      <c r="H291" s="21"/>
      <c r="I291" s="22"/>
      <c r="O291" s="22"/>
      <c r="P291" s="22"/>
      <c r="Q291" s="22"/>
      <c r="R291" s="22"/>
      <c r="W291" s="407"/>
    </row>
    <row r="292" spans="2:23" x14ac:dyDescent="0.3">
      <c r="B292" s="99" t="s">
        <v>279</v>
      </c>
      <c r="C292" s="14"/>
      <c r="D292" s="21"/>
      <c r="E292" s="21"/>
      <c r="F292" s="21"/>
      <c r="G292" s="21"/>
      <c r="H292" s="21"/>
      <c r="I292" s="22"/>
      <c r="O292" s="22"/>
      <c r="P292" s="22"/>
      <c r="Q292" s="22"/>
      <c r="R292" s="22"/>
      <c r="W292" s="407"/>
    </row>
    <row r="293" spans="2:23" x14ac:dyDescent="0.3">
      <c r="B293" s="1" t="s">
        <v>280</v>
      </c>
      <c r="D293" s="21"/>
      <c r="E293" s="21"/>
      <c r="F293" s="21"/>
      <c r="G293" s="21"/>
      <c r="O293" s="132"/>
      <c r="P293" s="132">
        <f t="shared" ref="P293:T293" ca="1" si="203">P285</f>
        <v>755830.72915089049</v>
      </c>
      <c r="Q293" s="132">
        <f t="shared" ca="1" si="203"/>
        <v>844690.16295054695</v>
      </c>
      <c r="R293" s="132">
        <f t="shared" ca="1" si="203"/>
        <v>945401.72654113057</v>
      </c>
      <c r="S293" s="132">
        <f t="shared" ca="1" si="203"/>
        <v>1060647.5010991991</v>
      </c>
      <c r="T293" s="132">
        <f t="shared" ca="1" si="203"/>
        <v>1192020.1083803391</v>
      </c>
      <c r="U293" s="132">
        <f t="shared" ref="U293" ca="1" si="204">U285</f>
        <v>1344082.8876390711</v>
      </c>
      <c r="V293" s="132"/>
      <c r="W293" s="407"/>
    </row>
    <row r="294" spans="2:23" x14ac:dyDescent="0.3">
      <c r="B294" s="1" t="s">
        <v>281</v>
      </c>
      <c r="D294" s="21"/>
      <c r="E294" s="21"/>
      <c r="F294" s="21"/>
      <c r="G294" s="21"/>
      <c r="O294" s="144"/>
      <c r="P294" s="132">
        <f>P241</f>
        <v>176696.25116140625</v>
      </c>
      <c r="Q294" s="132">
        <f t="shared" ref="Q294:T294" ca="1" si="205">Q241</f>
        <v>185192.69573068258</v>
      </c>
      <c r="R294" s="132">
        <f t="shared" ca="1" si="205"/>
        <v>194475.31183272257</v>
      </c>
      <c r="S294" s="132">
        <f t="shared" ca="1" si="205"/>
        <v>204650.0344887492</v>
      </c>
      <c r="T294" s="132">
        <f t="shared" ca="1" si="205"/>
        <v>215836.57334628658</v>
      </c>
      <c r="U294" s="132">
        <f>U272</f>
        <v>0</v>
      </c>
      <c r="V294" s="132"/>
      <c r="W294" s="407"/>
    </row>
    <row r="295" spans="2:23" x14ac:dyDescent="0.3">
      <c r="B295" s="1" t="s">
        <v>282</v>
      </c>
      <c r="D295" s="21"/>
      <c r="E295" s="21"/>
      <c r="F295" s="21"/>
      <c r="G295" s="21"/>
      <c r="O295" s="144"/>
      <c r="P295" s="145">
        <f>P273</f>
        <v>-358611.75951580005</v>
      </c>
      <c r="Q295" s="145">
        <f t="shared" ref="Q295:T295" si="206">Q273</f>
        <v>-362549.16590055724</v>
      </c>
      <c r="R295" s="145">
        <f t="shared" si="206"/>
        <v>-369190.47846034617</v>
      </c>
      <c r="S295" s="145">
        <f t="shared" si="206"/>
        <v>-378726.17518266081</v>
      </c>
      <c r="T295" s="145">
        <f t="shared" si="206"/>
        <v>-391384.39038099145</v>
      </c>
      <c r="U295" s="145">
        <f t="shared" ref="U295" si="207">U273</f>
        <v>0</v>
      </c>
      <c r="V295" s="132"/>
      <c r="W295" s="407"/>
    </row>
    <row r="296" spans="2:23" x14ac:dyDescent="0.3">
      <c r="B296" s="1" t="s">
        <v>283</v>
      </c>
      <c r="D296" s="21"/>
      <c r="E296" s="21"/>
      <c r="F296" s="21"/>
      <c r="G296" s="21"/>
      <c r="O296" s="132"/>
      <c r="P296" s="132">
        <f t="shared" ref="P296:T296" ca="1" si="208">SUM(P293:P295)</f>
        <v>573915.22079649672</v>
      </c>
      <c r="Q296" s="132">
        <f t="shared" ca="1" si="208"/>
        <v>667333.69278067234</v>
      </c>
      <c r="R296" s="132">
        <f t="shared" ca="1" si="208"/>
        <v>770686.55991350696</v>
      </c>
      <c r="S296" s="132">
        <f t="shared" ca="1" si="208"/>
        <v>886571.36040528747</v>
      </c>
      <c r="T296" s="132">
        <f t="shared" ca="1" si="208"/>
        <v>1016472.2913456343</v>
      </c>
      <c r="U296" s="132">
        <f t="shared" ref="U296" ca="1" si="209">SUM(U293:U295)</f>
        <v>1344082.8876390711</v>
      </c>
      <c r="V296" s="132"/>
      <c r="W296" s="407"/>
    </row>
    <row r="297" spans="2:23" x14ac:dyDescent="0.3">
      <c r="B297" s="1"/>
      <c r="D297" s="21"/>
      <c r="E297" s="21"/>
      <c r="F297" s="21"/>
      <c r="G297" s="21"/>
      <c r="O297" s="132"/>
      <c r="P297" s="132"/>
      <c r="Q297" s="132"/>
      <c r="R297" s="132"/>
      <c r="S297" s="132"/>
      <c r="T297" s="132"/>
      <c r="U297" s="132"/>
      <c r="V297" s="132"/>
      <c r="W297" s="407"/>
    </row>
    <row r="298" spans="2:23" x14ac:dyDescent="0.3">
      <c r="B298" s="64"/>
      <c r="C298" s="14"/>
      <c r="D298" s="21"/>
      <c r="E298" s="21"/>
      <c r="F298" s="21"/>
      <c r="G298" s="21"/>
      <c r="O298" s="144"/>
      <c r="P298" s="132"/>
      <c r="Q298" s="132"/>
      <c r="R298" s="132"/>
      <c r="S298" s="132"/>
      <c r="T298" s="132"/>
      <c r="U298" s="132"/>
      <c r="V298" s="132"/>
      <c r="W298" s="407"/>
    </row>
    <row r="299" spans="2:23" ht="15.75" x14ac:dyDescent="0.3">
      <c r="B299" s="146" t="s">
        <v>284</v>
      </c>
      <c r="C299" s="14"/>
      <c r="D299" s="21"/>
      <c r="E299" s="21"/>
      <c r="F299" s="21"/>
      <c r="G299" s="21"/>
      <c r="O299" s="144"/>
      <c r="P299" s="132"/>
      <c r="Q299" s="132"/>
      <c r="R299" s="132"/>
      <c r="S299" s="132"/>
      <c r="T299" s="132"/>
      <c r="U299" s="132"/>
      <c r="V299" s="132"/>
      <c r="W299" s="407"/>
    </row>
    <row r="300" spans="2:23" x14ac:dyDescent="0.3">
      <c r="B300" s="1" t="s">
        <v>283</v>
      </c>
      <c r="D300" s="21"/>
      <c r="E300" s="21"/>
      <c r="F300" s="21"/>
      <c r="G300" s="21"/>
      <c r="O300" s="132"/>
      <c r="P300" s="132">
        <f t="shared" ref="P300:T300" ca="1" si="210">P296</f>
        <v>573915.22079649672</v>
      </c>
      <c r="Q300" s="132">
        <f t="shared" ca="1" si="210"/>
        <v>667333.69278067234</v>
      </c>
      <c r="R300" s="132">
        <f t="shared" ca="1" si="210"/>
        <v>770686.55991350696</v>
      </c>
      <c r="S300" s="132">
        <f t="shared" ca="1" si="210"/>
        <v>886571.36040528747</v>
      </c>
      <c r="T300" s="132">
        <f t="shared" ca="1" si="210"/>
        <v>1016472.2913456343</v>
      </c>
      <c r="U300" s="132">
        <f t="shared" ref="U300" ca="1" si="211">U296</f>
        <v>1344082.8876390711</v>
      </c>
      <c r="V300" s="132"/>
      <c r="W300" s="407"/>
    </row>
    <row r="301" spans="2:23" ht="15.75" x14ac:dyDescent="0.3">
      <c r="B301" s="1" t="s">
        <v>285</v>
      </c>
      <c r="D301" s="21"/>
      <c r="E301" s="21"/>
      <c r="F301" s="21"/>
      <c r="G301" s="21"/>
      <c r="O301" s="144"/>
      <c r="P301" s="145">
        <f t="shared" ref="P301:T301" ca="1" si="212">P308</f>
        <v>0</v>
      </c>
      <c r="Q301" s="145">
        <f t="shared" ca="1" si="212"/>
        <v>0</v>
      </c>
      <c r="R301" s="145">
        <f t="shared" ca="1" si="212"/>
        <v>0</v>
      </c>
      <c r="S301" s="145">
        <f t="shared" ca="1" si="212"/>
        <v>0</v>
      </c>
      <c r="T301" s="145">
        <f t="shared" ca="1" si="212"/>
        <v>0</v>
      </c>
      <c r="U301" s="145">
        <f t="shared" ref="U301" ca="1" si="213">U308</f>
        <v>0</v>
      </c>
      <c r="V301" s="132"/>
      <c r="W301" s="407"/>
    </row>
    <row r="302" spans="2:23" x14ac:dyDescent="0.3">
      <c r="B302" s="1" t="s">
        <v>286</v>
      </c>
      <c r="D302" s="21"/>
      <c r="E302" s="21"/>
      <c r="F302" s="21"/>
      <c r="G302" s="21"/>
      <c r="O302" s="144"/>
      <c r="P302" s="132">
        <f t="shared" ref="P302:T302" ca="1" si="214" xml:space="preserve"> MAX(SUM(P300:P301),0)</f>
        <v>573915.22079649672</v>
      </c>
      <c r="Q302" s="132">
        <f t="shared" ca="1" si="214"/>
        <v>667333.69278067234</v>
      </c>
      <c r="R302" s="132">
        <f t="shared" ca="1" si="214"/>
        <v>770686.55991350696</v>
      </c>
      <c r="S302" s="132">
        <f t="shared" ca="1" si="214"/>
        <v>886571.36040528747</v>
      </c>
      <c r="T302" s="132">
        <f t="shared" ca="1" si="214"/>
        <v>1016472.2913456343</v>
      </c>
      <c r="U302" s="132">
        <f t="shared" ref="U302" ca="1" si="215" xml:space="preserve"> MAX(SUM(U300:U301),0)</f>
        <v>1344082.8876390711</v>
      </c>
      <c r="V302" s="132"/>
      <c r="W302" s="407"/>
    </row>
    <row r="303" spans="2:23" x14ac:dyDescent="0.3">
      <c r="B303" s="1"/>
      <c r="D303" s="21"/>
      <c r="E303" s="21"/>
      <c r="F303" s="21"/>
      <c r="G303" s="21"/>
      <c r="O303" s="144"/>
      <c r="P303" s="132"/>
      <c r="Q303" s="132"/>
      <c r="R303" s="132"/>
      <c r="S303" s="132"/>
      <c r="T303" s="132"/>
      <c r="U303" s="132"/>
      <c r="V303" s="132"/>
      <c r="W303" s="407"/>
    </row>
    <row r="304" spans="2:23" x14ac:dyDescent="0.3">
      <c r="B304" s="64"/>
      <c r="C304" s="14"/>
      <c r="D304" s="21"/>
      <c r="E304" s="21"/>
      <c r="F304" s="21"/>
      <c r="G304" s="21"/>
      <c r="O304" s="144"/>
      <c r="P304" s="144"/>
      <c r="Q304" s="144"/>
      <c r="R304" s="144"/>
      <c r="S304" s="144"/>
      <c r="T304" s="144"/>
      <c r="U304" s="144"/>
      <c r="V304" s="144"/>
      <c r="W304" s="407"/>
    </row>
    <row r="305" spans="2:23" x14ac:dyDescent="0.3">
      <c r="B305" s="146" t="s">
        <v>287</v>
      </c>
      <c r="C305" s="14"/>
      <c r="D305" s="21"/>
      <c r="E305" s="21"/>
      <c r="F305" s="21"/>
      <c r="G305" s="21"/>
      <c r="O305" s="144"/>
      <c r="P305" s="144"/>
      <c r="Q305" s="144"/>
      <c r="R305" s="144"/>
      <c r="S305" s="144"/>
      <c r="T305" s="144"/>
      <c r="U305" s="144"/>
      <c r="V305" s="144"/>
      <c r="W305" s="407"/>
    </row>
    <row r="306" spans="2:23" x14ac:dyDescent="0.3">
      <c r="B306" s="1" t="s">
        <v>288</v>
      </c>
      <c r="D306" s="21"/>
      <c r="E306" s="21"/>
      <c r="F306" s="21"/>
      <c r="G306" s="21"/>
      <c r="O306" s="144"/>
      <c r="P306" s="132">
        <f t="shared" ref="P306:U306" si="216">O309</f>
        <v>0</v>
      </c>
      <c r="Q306" s="132">
        <f t="shared" ca="1" si="216"/>
        <v>0</v>
      </c>
      <c r="R306" s="132">
        <f t="shared" ca="1" si="216"/>
        <v>0</v>
      </c>
      <c r="S306" s="132">
        <f t="shared" ca="1" si="216"/>
        <v>0</v>
      </c>
      <c r="T306" s="132">
        <f t="shared" ca="1" si="216"/>
        <v>0</v>
      </c>
      <c r="U306" s="132">
        <f t="shared" ca="1" si="216"/>
        <v>0</v>
      </c>
      <c r="V306" s="132"/>
      <c r="W306" s="407"/>
    </row>
    <row r="307" spans="2:23" x14ac:dyDescent="0.3">
      <c r="B307" s="1" t="s">
        <v>289</v>
      </c>
      <c r="D307" s="21"/>
      <c r="E307" s="21"/>
      <c r="F307" s="21"/>
      <c r="G307" s="21"/>
      <c r="O307" s="144"/>
      <c r="P307" s="132">
        <f t="shared" ref="P307:U307" ca="1" si="217">-MIN(P293,0)</f>
        <v>0</v>
      </c>
      <c r="Q307" s="132">
        <f t="shared" ca="1" si="217"/>
        <v>0</v>
      </c>
      <c r="R307" s="132">
        <f t="shared" ca="1" si="217"/>
        <v>0</v>
      </c>
      <c r="S307" s="132">
        <f t="shared" ca="1" si="217"/>
        <v>0</v>
      </c>
      <c r="T307" s="132">
        <f t="shared" ca="1" si="217"/>
        <v>0</v>
      </c>
      <c r="U307" s="132">
        <f t="shared" ca="1" si="217"/>
        <v>0</v>
      </c>
      <c r="V307" s="132"/>
      <c r="W307" s="407"/>
    </row>
    <row r="308" spans="2:23" x14ac:dyDescent="0.3">
      <c r="B308" s="1" t="s">
        <v>290</v>
      </c>
      <c r="D308" s="21"/>
      <c r="E308" s="21"/>
      <c r="F308" s="21"/>
      <c r="G308" s="21"/>
      <c r="O308" s="147"/>
      <c r="P308" s="145">
        <f t="shared" ref="P308:U308" ca="1" si="218">-MIN(P306,P300)*P286</f>
        <v>0</v>
      </c>
      <c r="Q308" s="145">
        <f t="shared" ca="1" si="218"/>
        <v>0</v>
      </c>
      <c r="R308" s="145">
        <f t="shared" ca="1" si="218"/>
        <v>0</v>
      </c>
      <c r="S308" s="145">
        <f t="shared" ca="1" si="218"/>
        <v>0</v>
      </c>
      <c r="T308" s="145">
        <f t="shared" ca="1" si="218"/>
        <v>0</v>
      </c>
      <c r="U308" s="145">
        <f t="shared" ca="1" si="218"/>
        <v>0</v>
      </c>
      <c r="V308" s="132"/>
      <c r="W308" s="407"/>
    </row>
    <row r="309" spans="2:23" x14ac:dyDescent="0.3">
      <c r="B309" s="1" t="s">
        <v>291</v>
      </c>
      <c r="D309" s="21"/>
      <c r="E309" s="21"/>
      <c r="F309" s="21"/>
      <c r="G309" s="21"/>
      <c r="O309" s="148">
        <v>0</v>
      </c>
      <c r="P309" s="132">
        <f t="shared" ref="P309:U309" ca="1" si="219">SUM(P306:P308)</f>
        <v>0</v>
      </c>
      <c r="Q309" s="132">
        <f t="shared" ca="1" si="219"/>
        <v>0</v>
      </c>
      <c r="R309" s="132">
        <f t="shared" ca="1" si="219"/>
        <v>0</v>
      </c>
      <c r="S309" s="132">
        <f t="shared" ca="1" si="219"/>
        <v>0</v>
      </c>
      <c r="T309" s="132">
        <f t="shared" ca="1" si="219"/>
        <v>0</v>
      </c>
      <c r="U309" s="132">
        <f t="shared" ca="1" si="219"/>
        <v>0</v>
      </c>
      <c r="V309" s="132"/>
      <c r="W309" s="407"/>
    </row>
    <row r="310" spans="2:23" x14ac:dyDescent="0.3">
      <c r="B310" s="149"/>
      <c r="C310" s="14"/>
      <c r="D310" s="21"/>
      <c r="E310" s="21"/>
      <c r="F310" s="21"/>
      <c r="G310" s="21"/>
      <c r="J310" s="148"/>
      <c r="K310" s="132"/>
      <c r="L310" s="132"/>
      <c r="M310" s="132"/>
      <c r="N310" s="132"/>
      <c r="O310" s="132"/>
      <c r="W310" s="407"/>
    </row>
    <row r="311" spans="2:23" x14ac:dyDescent="0.3">
      <c r="B311" s="149"/>
      <c r="C311" s="14"/>
      <c r="D311" s="21"/>
      <c r="E311" s="21"/>
      <c r="F311" s="21"/>
      <c r="G311" s="21"/>
      <c r="J311" s="148"/>
      <c r="K311" s="132"/>
      <c r="L311" s="132"/>
      <c r="M311" s="132"/>
      <c r="N311" s="132"/>
      <c r="O311" s="132"/>
      <c r="W311" s="407"/>
    </row>
    <row r="312" spans="2:23" x14ac:dyDescent="0.3">
      <c r="B312" s="150"/>
      <c r="C312" s="151"/>
      <c r="D312" s="125"/>
      <c r="E312" s="125"/>
      <c r="F312" s="125"/>
      <c r="G312" s="125"/>
      <c r="H312" s="68"/>
      <c r="I312" s="68"/>
      <c r="J312" s="152"/>
      <c r="K312" s="153"/>
      <c r="L312" s="153"/>
      <c r="M312" s="153"/>
      <c r="N312" s="153"/>
      <c r="O312" s="153"/>
      <c r="P312" s="68"/>
      <c r="Q312" s="68"/>
      <c r="R312" s="68"/>
      <c r="S312" s="68"/>
      <c r="T312" s="68"/>
      <c r="U312" s="68"/>
      <c r="W312" s="407"/>
    </row>
    <row r="313" spans="2:23" x14ac:dyDescent="0.3">
      <c r="B313" s="99" t="s">
        <v>292</v>
      </c>
      <c r="C313" s="14"/>
      <c r="D313" s="21"/>
      <c r="E313" s="21"/>
      <c r="F313" s="21"/>
      <c r="G313" s="21"/>
      <c r="J313" s="144"/>
      <c r="K313" s="144"/>
      <c r="L313" s="144"/>
      <c r="M313" s="144"/>
      <c r="N313" s="144"/>
      <c r="O313" s="144"/>
      <c r="W313" s="407"/>
    </row>
    <row r="314" spans="2:23" x14ac:dyDescent="0.3">
      <c r="B314" s="1" t="s">
        <v>293</v>
      </c>
      <c r="D314" s="21"/>
      <c r="E314" s="21"/>
      <c r="F314" s="32"/>
      <c r="G314" s="32"/>
      <c r="O314" s="132"/>
      <c r="P314" s="132">
        <f ca="1">P302*$E$288</f>
        <v>91826.435327439482</v>
      </c>
      <c r="Q314" s="132">
        <f t="shared" ref="Q314:T314" ca="1" si="220">Q302*$E$288</f>
        <v>106773.39084490758</v>
      </c>
      <c r="R314" s="132">
        <f t="shared" ca="1" si="220"/>
        <v>123309.84958616112</v>
      </c>
      <c r="S314" s="132">
        <f t="shared" ca="1" si="220"/>
        <v>141851.417664846</v>
      </c>
      <c r="T314" s="132">
        <f t="shared" ca="1" si="220"/>
        <v>162635.56661530148</v>
      </c>
      <c r="U314" s="132">
        <f t="shared" ref="U314" ca="1" si="221">U302*$E$288</f>
        <v>215053.26202225138</v>
      </c>
      <c r="V314" s="132"/>
      <c r="W314" s="407"/>
    </row>
    <row r="315" spans="2:23" x14ac:dyDescent="0.3">
      <c r="B315" s="1" t="s">
        <v>294</v>
      </c>
      <c r="D315" s="21"/>
      <c r="E315" s="21"/>
      <c r="F315" s="21"/>
      <c r="G315" s="21"/>
      <c r="O315" s="144"/>
      <c r="P315" s="132">
        <f t="shared" ref="P315" ca="1" si="222">P316-P314</f>
        <v>29106.481336703</v>
      </c>
      <c r="Q315" s="132">
        <f t="shared" ref="Q315:T315" ca="1" si="223">Q316-Q314</f>
        <v>28377.035227179935</v>
      </c>
      <c r="R315" s="132">
        <f t="shared" ca="1" si="223"/>
        <v>27954.426660419791</v>
      </c>
      <c r="S315" s="132">
        <f t="shared" ca="1" si="223"/>
        <v>27852.182511025865</v>
      </c>
      <c r="T315" s="132">
        <f t="shared" ca="1" si="223"/>
        <v>28087.650725552783</v>
      </c>
      <c r="U315" s="132">
        <f t="shared" ref="U315" ca="1" si="224">U316-U314</f>
        <v>0</v>
      </c>
      <c r="V315" s="132"/>
      <c r="W315" s="407"/>
    </row>
    <row r="316" spans="2:23" x14ac:dyDescent="0.3">
      <c r="B316" s="85" t="s">
        <v>295</v>
      </c>
      <c r="D316" s="21"/>
      <c r="E316" s="21"/>
      <c r="F316" s="21"/>
      <c r="G316" s="21"/>
      <c r="O316" s="144"/>
      <c r="P316" s="154">
        <f ca="1">P293*$E$288</f>
        <v>120932.91666414248</v>
      </c>
      <c r="Q316" s="154">
        <f t="shared" ref="Q316:T316" ca="1" si="225">Q293*$E$288</f>
        <v>135150.42607208752</v>
      </c>
      <c r="R316" s="154">
        <f t="shared" ca="1" si="225"/>
        <v>151264.27624658091</v>
      </c>
      <c r="S316" s="154">
        <f t="shared" ca="1" si="225"/>
        <v>169703.60017587186</v>
      </c>
      <c r="T316" s="154">
        <f t="shared" ca="1" si="225"/>
        <v>190723.21734085426</v>
      </c>
      <c r="U316" s="154">
        <f ca="1">U293*$E$288</f>
        <v>215053.26202225138</v>
      </c>
      <c r="V316" s="276"/>
      <c r="W316" s="407"/>
    </row>
    <row r="317" spans="2:23" x14ac:dyDescent="0.3">
      <c r="B317" s="64"/>
      <c r="C317" s="14"/>
      <c r="D317" s="21"/>
      <c r="E317" s="21"/>
      <c r="F317" s="21"/>
      <c r="G317" s="21"/>
      <c r="O317" s="21"/>
      <c r="P317" s="22"/>
      <c r="Q317" s="22"/>
      <c r="R317" s="22"/>
      <c r="S317" s="22"/>
      <c r="T317" s="22"/>
      <c r="W317" s="407"/>
    </row>
    <row r="318" spans="2:23" x14ac:dyDescent="0.3">
      <c r="B318" s="62"/>
      <c r="C318" s="62"/>
      <c r="D318" s="42"/>
      <c r="E318" s="42"/>
      <c r="F318" s="155"/>
      <c r="G318" s="155"/>
      <c r="O318" s="155"/>
      <c r="P318" s="156"/>
      <c r="Q318" s="156"/>
      <c r="R318" s="156"/>
      <c r="S318" s="156"/>
      <c r="T318" s="157"/>
      <c r="W318" s="407"/>
    </row>
    <row r="319" spans="2:23" x14ac:dyDescent="0.3">
      <c r="B319" s="158"/>
      <c r="C319" s="14"/>
      <c r="D319" s="21"/>
      <c r="E319" s="21"/>
      <c r="F319" s="21"/>
      <c r="G319" s="21"/>
      <c r="O319" s="21"/>
      <c r="P319" s="22"/>
      <c r="Q319" s="22"/>
      <c r="R319" s="22"/>
      <c r="S319" s="22"/>
      <c r="T319" s="123" t="s">
        <v>296</v>
      </c>
      <c r="W319" s="407"/>
    </row>
    <row r="320" spans="2:23" x14ac:dyDescent="0.3">
      <c r="B320" s="158"/>
      <c r="C320" s="14"/>
      <c r="D320" s="21"/>
      <c r="E320" s="21"/>
      <c r="F320" s="21"/>
      <c r="G320" s="21"/>
      <c r="O320" s="21"/>
      <c r="P320" s="22"/>
      <c r="Q320" s="22"/>
      <c r="R320" s="22"/>
      <c r="S320" s="22"/>
      <c r="T320" s="124" t="s">
        <v>297</v>
      </c>
      <c r="W320" s="407"/>
    </row>
    <row r="321" spans="1:23" x14ac:dyDescent="0.3">
      <c r="W321" s="407"/>
    </row>
    <row r="322" spans="1:23" x14ac:dyDescent="0.3">
      <c r="W322" s="407"/>
    </row>
    <row r="323" spans="1:23" x14ac:dyDescent="0.3">
      <c r="A323" t="s">
        <v>90</v>
      </c>
      <c r="B323" s="369" t="s">
        <v>312</v>
      </c>
      <c r="C323" s="368"/>
      <c r="D323" s="368"/>
      <c r="E323" s="368"/>
      <c r="F323" s="368"/>
      <c r="G323" s="371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69"/>
      <c r="W323" s="407"/>
    </row>
    <row r="324" spans="1:23" x14ac:dyDescent="0.3">
      <c r="B324" s="4" t="s">
        <v>8</v>
      </c>
      <c r="G324" s="74">
        <f>G282</f>
        <v>45382</v>
      </c>
      <c r="H324" s="74">
        <f t="shared" ref="H324:U324" si="226">H282</f>
        <v>45473</v>
      </c>
      <c r="I324" s="74">
        <f t="shared" si="226"/>
        <v>45565</v>
      </c>
      <c r="J324" s="74">
        <f t="shared" si="226"/>
        <v>45656</v>
      </c>
      <c r="K324" s="74">
        <f t="shared" si="226"/>
        <v>45746</v>
      </c>
      <c r="L324" s="74">
        <f t="shared" si="226"/>
        <v>45838</v>
      </c>
      <c r="M324" s="74">
        <f t="shared" si="226"/>
        <v>45930</v>
      </c>
      <c r="N324" s="74">
        <f t="shared" si="226"/>
        <v>46021</v>
      </c>
      <c r="O324" s="74">
        <f t="shared" si="226"/>
        <v>46111</v>
      </c>
      <c r="P324" s="74">
        <f t="shared" si="226"/>
        <v>46203</v>
      </c>
      <c r="Q324" s="74">
        <f t="shared" si="226"/>
        <v>46295</v>
      </c>
      <c r="R324" s="74">
        <f t="shared" si="226"/>
        <v>46386</v>
      </c>
      <c r="S324" s="74">
        <f t="shared" si="226"/>
        <v>46476</v>
      </c>
      <c r="T324" s="74">
        <f t="shared" si="226"/>
        <v>46568</v>
      </c>
      <c r="U324" s="170" t="str">
        <f t="shared" si="226"/>
        <v>Term</v>
      </c>
      <c r="V324" s="170"/>
      <c r="W324" s="407"/>
    </row>
    <row r="325" spans="1:23" x14ac:dyDescent="0.3">
      <c r="W325" s="407"/>
    </row>
    <row r="326" spans="1:23" x14ac:dyDescent="0.3">
      <c r="W326" s="407"/>
    </row>
    <row r="327" spans="1:23" x14ac:dyDescent="0.3">
      <c r="B327" t="s">
        <v>299</v>
      </c>
      <c r="P327" s="6">
        <f t="shared" ref="P327:U327" si="227">P15</f>
        <v>727188.47387306264</v>
      </c>
      <c r="Q327" s="6">
        <f t="shared" si="227"/>
        <v>812202.49780878983</v>
      </c>
      <c r="R327" s="6">
        <f t="shared" si="227"/>
        <v>908800.1254107561</v>
      </c>
      <c r="S327" s="6">
        <f t="shared" si="227"/>
        <v>1019614.3124776161</v>
      </c>
      <c r="T327" s="6">
        <f t="shared" si="227"/>
        <v>1146780.0405955461</v>
      </c>
      <c r="U327" s="6">
        <f t="shared" si="227"/>
        <v>1289699.0339042821</v>
      </c>
      <c r="V327" s="6"/>
      <c r="W327" s="407"/>
    </row>
    <row r="328" spans="1:23" x14ac:dyDescent="0.3">
      <c r="B328" t="s">
        <v>276</v>
      </c>
      <c r="P328" s="135">
        <f t="shared" ref="P328:T328" si="228">IF(P342&gt;0,1,0)</f>
        <v>1</v>
      </c>
      <c r="Q328" s="135">
        <f t="shared" ca="1" si="228"/>
        <v>1</v>
      </c>
      <c r="R328" s="135">
        <f t="shared" ca="1" si="228"/>
        <v>1</v>
      </c>
      <c r="S328" s="135">
        <f t="shared" ca="1" si="228"/>
        <v>1</v>
      </c>
      <c r="T328" s="135">
        <f t="shared" ca="1" si="228"/>
        <v>1</v>
      </c>
      <c r="U328" s="135">
        <f t="shared" ref="U328" si="229">IF(U342&gt;0,1,0)</f>
        <v>1</v>
      </c>
      <c r="V328" s="135"/>
      <c r="W328" s="407"/>
    </row>
    <row r="329" spans="1:23" x14ac:dyDescent="0.3">
      <c r="W329" s="407"/>
    </row>
    <row r="330" spans="1:23" x14ac:dyDescent="0.3">
      <c r="B330" s="136" t="s">
        <v>277</v>
      </c>
      <c r="C330" s="137"/>
      <c r="D330" s="165"/>
      <c r="E330" s="138">
        <f>E288</f>
        <v>0.16</v>
      </c>
      <c r="F330" s="21"/>
      <c r="G330" s="21"/>
      <c r="H330" s="21"/>
      <c r="I330" s="22"/>
      <c r="O330" s="22"/>
      <c r="P330" s="22"/>
      <c r="Q330" s="22"/>
      <c r="R330" s="22"/>
      <c r="W330" s="407"/>
    </row>
    <row r="331" spans="1:23" x14ac:dyDescent="0.3">
      <c r="B331" s="139" t="s">
        <v>278</v>
      </c>
      <c r="C331" s="140"/>
      <c r="D331" s="166"/>
      <c r="E331" s="141">
        <f ca="1">IF(T351=0,0,1)</f>
        <v>0</v>
      </c>
      <c r="F331" s="132"/>
      <c r="G331" s="142"/>
      <c r="H331" s="132"/>
      <c r="I331" s="132"/>
      <c r="O331" s="132"/>
      <c r="P331" s="132"/>
      <c r="Q331" s="132"/>
      <c r="W331" s="407"/>
    </row>
    <row r="332" spans="1:23" x14ac:dyDescent="0.3">
      <c r="B332" s="64"/>
      <c r="C332" s="14"/>
      <c r="D332" s="143"/>
      <c r="E332" s="21"/>
      <c r="F332" s="21"/>
      <c r="G332" s="21"/>
      <c r="H332" s="21"/>
      <c r="I332" s="22"/>
      <c r="O332" s="22"/>
      <c r="P332" s="22"/>
      <c r="Q332" s="22"/>
      <c r="R332" s="22"/>
      <c r="W332" s="407"/>
    </row>
    <row r="333" spans="1:23" x14ac:dyDescent="0.3">
      <c r="B333" s="64"/>
      <c r="C333" s="14"/>
      <c r="D333" s="143"/>
      <c r="E333" s="21"/>
      <c r="F333" s="21"/>
      <c r="G333" s="21"/>
      <c r="H333" s="21"/>
      <c r="I333" s="22"/>
      <c r="O333" s="22"/>
      <c r="P333" s="22"/>
      <c r="Q333" s="22"/>
      <c r="R333" s="22"/>
      <c r="W333" s="407"/>
    </row>
    <row r="334" spans="1:23" x14ac:dyDescent="0.3">
      <c r="B334" s="99" t="s">
        <v>279</v>
      </c>
      <c r="C334" s="14"/>
      <c r="D334" s="21"/>
      <c r="E334" s="21"/>
      <c r="F334" s="21"/>
      <c r="G334" s="21"/>
      <c r="H334" s="21"/>
      <c r="I334" s="22"/>
      <c r="O334" s="22"/>
      <c r="P334" s="22"/>
      <c r="Q334" s="22"/>
      <c r="R334" s="22"/>
      <c r="W334" s="407"/>
    </row>
    <row r="335" spans="1:23" x14ac:dyDescent="0.3">
      <c r="B335" s="1" t="s">
        <v>280</v>
      </c>
      <c r="D335" s="21"/>
      <c r="E335" s="21"/>
      <c r="F335" s="21"/>
      <c r="G335" s="21"/>
      <c r="O335" s="132"/>
      <c r="P335" s="132">
        <f t="shared" ref="P335:T335" si="230">P327</f>
        <v>727188.47387306264</v>
      </c>
      <c r="Q335" s="132">
        <f t="shared" si="230"/>
        <v>812202.49780878983</v>
      </c>
      <c r="R335" s="132">
        <f t="shared" si="230"/>
        <v>908800.1254107561</v>
      </c>
      <c r="S335" s="132">
        <f t="shared" si="230"/>
        <v>1019614.3124776161</v>
      </c>
      <c r="T335" s="132">
        <f t="shared" si="230"/>
        <v>1146780.0405955461</v>
      </c>
      <c r="U335" s="132">
        <f t="shared" ref="U335" si="231">U327</f>
        <v>1289699.0339042821</v>
      </c>
      <c r="V335" s="132"/>
      <c r="W335" s="407"/>
    </row>
    <row r="336" spans="1:23" x14ac:dyDescent="0.3">
      <c r="B336" s="1" t="s">
        <v>281</v>
      </c>
      <c r="D336" s="21"/>
      <c r="E336" s="21"/>
      <c r="F336" s="21"/>
      <c r="G336" s="21"/>
      <c r="O336" s="144"/>
      <c r="P336" s="132">
        <f>P294</f>
        <v>176696.25116140625</v>
      </c>
      <c r="Q336" s="132">
        <f t="shared" ref="Q336:T336" ca="1" si="232">Q294</f>
        <v>185192.69573068258</v>
      </c>
      <c r="R336" s="132">
        <f t="shared" ca="1" si="232"/>
        <v>194475.31183272257</v>
      </c>
      <c r="S336" s="132">
        <f t="shared" ca="1" si="232"/>
        <v>204650.0344887492</v>
      </c>
      <c r="T336" s="132">
        <f t="shared" ca="1" si="232"/>
        <v>215836.57334628658</v>
      </c>
      <c r="U336" s="132">
        <f t="shared" ref="U336" si="233">U294</f>
        <v>0</v>
      </c>
      <c r="V336" s="132"/>
      <c r="W336" s="407"/>
    </row>
    <row r="337" spans="2:23" x14ac:dyDescent="0.3">
      <c r="B337" s="1" t="s">
        <v>282</v>
      </c>
      <c r="D337" s="21"/>
      <c r="E337" s="21"/>
      <c r="F337" s="21"/>
      <c r="G337" s="21"/>
      <c r="O337" s="144"/>
      <c r="P337" s="145">
        <f>P295</f>
        <v>-358611.75951580005</v>
      </c>
      <c r="Q337" s="145">
        <f t="shared" ref="Q337:T337" si="234">Q295</f>
        <v>-362549.16590055724</v>
      </c>
      <c r="R337" s="145">
        <f t="shared" si="234"/>
        <v>-369190.47846034617</v>
      </c>
      <c r="S337" s="145">
        <f t="shared" si="234"/>
        <v>-378726.17518266081</v>
      </c>
      <c r="T337" s="145">
        <f t="shared" si="234"/>
        <v>-391384.39038099145</v>
      </c>
      <c r="U337" s="145">
        <f t="shared" ref="U337" si="235">U295</f>
        <v>0</v>
      </c>
      <c r="V337" s="132"/>
      <c r="W337" s="407"/>
    </row>
    <row r="338" spans="2:23" x14ac:dyDescent="0.3">
      <c r="B338" s="1" t="s">
        <v>283</v>
      </c>
      <c r="D338" s="21"/>
      <c r="E338" s="21"/>
      <c r="F338" s="21"/>
      <c r="G338" s="21"/>
      <c r="O338" s="132"/>
      <c r="P338" s="132">
        <f t="shared" ref="P338:T338" si="236">SUM(P335:P337)</f>
        <v>545272.96551866888</v>
      </c>
      <c r="Q338" s="132">
        <f t="shared" ca="1" si="236"/>
        <v>634846.02763891523</v>
      </c>
      <c r="R338" s="132">
        <f t="shared" ca="1" si="236"/>
        <v>734084.95878313249</v>
      </c>
      <c r="S338" s="132">
        <f t="shared" ca="1" si="236"/>
        <v>845538.17178370454</v>
      </c>
      <c r="T338" s="132">
        <f t="shared" ca="1" si="236"/>
        <v>971232.22356084129</v>
      </c>
      <c r="U338" s="132">
        <f t="shared" ref="U338" si="237">SUM(U335:U337)</f>
        <v>1289699.0339042821</v>
      </c>
      <c r="V338" s="132"/>
      <c r="W338" s="407"/>
    </row>
    <row r="339" spans="2:23" x14ac:dyDescent="0.3">
      <c r="B339" s="1"/>
      <c r="D339" s="21"/>
      <c r="E339" s="21"/>
      <c r="F339" s="21"/>
      <c r="G339" s="21"/>
      <c r="O339" s="132"/>
      <c r="P339" s="132"/>
      <c r="Q339" s="132"/>
      <c r="R339" s="132"/>
      <c r="S339" s="132"/>
      <c r="T339" s="132"/>
      <c r="U339" s="132"/>
      <c r="V339" s="132"/>
      <c r="W339" s="407"/>
    </row>
    <row r="340" spans="2:23" x14ac:dyDescent="0.3">
      <c r="B340" s="64"/>
      <c r="C340" s="14"/>
      <c r="D340" s="21"/>
      <c r="E340" s="21"/>
      <c r="F340" s="21"/>
      <c r="G340" s="21"/>
      <c r="O340" s="144"/>
      <c r="P340" s="132"/>
      <c r="Q340" s="132"/>
      <c r="R340" s="132"/>
      <c r="S340" s="132"/>
      <c r="T340" s="132"/>
      <c r="U340" s="132"/>
      <c r="V340" s="132"/>
      <c r="W340" s="407"/>
    </row>
    <row r="341" spans="2:23" ht="15.75" x14ac:dyDescent="0.3">
      <c r="B341" s="146" t="s">
        <v>284</v>
      </c>
      <c r="C341" s="14"/>
      <c r="D341" s="21"/>
      <c r="E341" s="21"/>
      <c r="F341" s="21"/>
      <c r="G341" s="21"/>
      <c r="O341" s="144"/>
      <c r="P341" s="132"/>
      <c r="Q341" s="132"/>
      <c r="R341" s="132"/>
      <c r="S341" s="132"/>
      <c r="T341" s="132"/>
      <c r="U341" s="132"/>
      <c r="V341" s="132"/>
      <c r="W341" s="407"/>
    </row>
    <row r="342" spans="2:23" x14ac:dyDescent="0.3">
      <c r="B342" s="1" t="s">
        <v>283</v>
      </c>
      <c r="D342" s="21"/>
      <c r="E342" s="21"/>
      <c r="F342" s="21"/>
      <c r="G342" s="21"/>
      <c r="O342" s="132"/>
      <c r="P342" s="132">
        <f t="shared" ref="P342:T342" si="238">P338</f>
        <v>545272.96551866888</v>
      </c>
      <c r="Q342" s="132">
        <f t="shared" ca="1" si="238"/>
        <v>634846.02763891523</v>
      </c>
      <c r="R342" s="132">
        <f t="shared" ca="1" si="238"/>
        <v>734084.95878313249</v>
      </c>
      <c r="S342" s="132">
        <f t="shared" ca="1" si="238"/>
        <v>845538.17178370454</v>
      </c>
      <c r="T342" s="132">
        <f t="shared" ca="1" si="238"/>
        <v>971232.22356084129</v>
      </c>
      <c r="U342" s="132">
        <f t="shared" ref="U342" si="239">U338</f>
        <v>1289699.0339042821</v>
      </c>
      <c r="V342" s="132"/>
      <c r="W342" s="407"/>
    </row>
    <row r="343" spans="2:23" ht="15.75" x14ac:dyDescent="0.3">
      <c r="B343" s="1" t="s">
        <v>285</v>
      </c>
      <c r="D343" s="21"/>
      <c r="E343" s="21"/>
      <c r="F343" s="21"/>
      <c r="G343" s="21"/>
      <c r="O343" s="144"/>
      <c r="P343" s="145">
        <f t="shared" ref="P343:T343" si="240">P350</f>
        <v>0</v>
      </c>
      <c r="Q343" s="145">
        <f t="shared" ca="1" si="240"/>
        <v>0</v>
      </c>
      <c r="R343" s="145">
        <f t="shared" ca="1" si="240"/>
        <v>0</v>
      </c>
      <c r="S343" s="145">
        <f t="shared" ca="1" si="240"/>
        <v>0</v>
      </c>
      <c r="T343" s="145">
        <f t="shared" ca="1" si="240"/>
        <v>0</v>
      </c>
      <c r="U343" s="145">
        <f t="shared" ref="U343" ca="1" si="241">U350</f>
        <v>0</v>
      </c>
      <c r="V343" s="132"/>
      <c r="W343" s="407"/>
    </row>
    <row r="344" spans="2:23" x14ac:dyDescent="0.3">
      <c r="B344" s="1" t="s">
        <v>286</v>
      </c>
      <c r="D344" s="21"/>
      <c r="E344" s="21"/>
      <c r="F344" s="21"/>
      <c r="G344" s="21"/>
      <c r="O344" s="144"/>
      <c r="P344" s="132">
        <f t="shared" ref="P344:T344" si="242" xml:space="preserve"> MAX(SUM(P342:P343),0)</f>
        <v>545272.96551866888</v>
      </c>
      <c r="Q344" s="132">
        <f t="shared" ca="1" si="242"/>
        <v>634846.02763891523</v>
      </c>
      <c r="R344" s="132">
        <f t="shared" ca="1" si="242"/>
        <v>734084.95878313249</v>
      </c>
      <c r="S344" s="132">
        <f t="shared" ca="1" si="242"/>
        <v>845538.17178370454</v>
      </c>
      <c r="T344" s="132">
        <f t="shared" ca="1" si="242"/>
        <v>971232.22356084129</v>
      </c>
      <c r="U344" s="132">
        <f t="shared" ref="U344" ca="1" si="243" xml:space="preserve"> MAX(SUM(U342:U343),0)</f>
        <v>1289699.0339042821</v>
      </c>
      <c r="V344" s="132"/>
      <c r="W344" s="407"/>
    </row>
    <row r="345" spans="2:23" x14ac:dyDescent="0.3">
      <c r="B345" s="1"/>
      <c r="D345" s="21"/>
      <c r="E345" s="21"/>
      <c r="F345" s="21"/>
      <c r="G345" s="21"/>
      <c r="O345" s="144"/>
      <c r="P345" s="132"/>
      <c r="Q345" s="132"/>
      <c r="R345" s="132"/>
      <c r="S345" s="132"/>
      <c r="T345" s="132"/>
      <c r="U345" s="132"/>
      <c r="V345" s="132"/>
      <c r="W345" s="407"/>
    </row>
    <row r="346" spans="2:23" x14ac:dyDescent="0.3">
      <c r="B346" s="64"/>
      <c r="C346" s="14"/>
      <c r="D346" s="21"/>
      <c r="E346" s="21"/>
      <c r="F346" s="21"/>
      <c r="G346" s="21"/>
      <c r="O346" s="144"/>
      <c r="P346" s="144"/>
      <c r="Q346" s="144"/>
      <c r="R346" s="144"/>
      <c r="S346" s="144"/>
      <c r="T346" s="144"/>
      <c r="U346" s="144"/>
      <c r="V346" s="144"/>
      <c r="W346" s="407"/>
    </row>
    <row r="347" spans="2:23" x14ac:dyDescent="0.3">
      <c r="B347" s="146" t="s">
        <v>287</v>
      </c>
      <c r="C347" s="14"/>
      <c r="D347" s="21"/>
      <c r="E347" s="21"/>
      <c r="F347" s="21"/>
      <c r="G347" s="21"/>
      <c r="O347" s="144"/>
      <c r="P347" s="144"/>
      <c r="Q347" s="144"/>
      <c r="R347" s="144"/>
      <c r="S347" s="144"/>
      <c r="T347" s="144"/>
      <c r="U347" s="144"/>
      <c r="V347" s="144"/>
      <c r="W347" s="407"/>
    </row>
    <row r="348" spans="2:23" x14ac:dyDescent="0.3">
      <c r="B348" s="1" t="s">
        <v>288</v>
      </c>
      <c r="D348" s="21"/>
      <c r="E348" s="21"/>
      <c r="F348" s="21"/>
      <c r="G348" s="21"/>
      <c r="O348" s="144"/>
      <c r="P348" s="132">
        <f t="shared" ref="P348:U348" si="244">O351</f>
        <v>0</v>
      </c>
      <c r="Q348" s="132">
        <f t="shared" si="244"/>
        <v>0</v>
      </c>
      <c r="R348" s="132">
        <f t="shared" ca="1" si="244"/>
        <v>0</v>
      </c>
      <c r="S348" s="132">
        <f t="shared" ca="1" si="244"/>
        <v>0</v>
      </c>
      <c r="T348" s="132">
        <f t="shared" ca="1" si="244"/>
        <v>0</v>
      </c>
      <c r="U348" s="132">
        <f t="shared" ca="1" si="244"/>
        <v>0</v>
      </c>
      <c r="V348" s="132"/>
      <c r="W348" s="407"/>
    </row>
    <row r="349" spans="2:23" x14ac:dyDescent="0.3">
      <c r="B349" s="1" t="s">
        <v>289</v>
      </c>
      <c r="D349" s="21"/>
      <c r="E349" s="21"/>
      <c r="F349" s="21"/>
      <c r="G349" s="21"/>
      <c r="O349" s="144"/>
      <c r="P349" s="132">
        <f t="shared" ref="P349:U349" si="245">-MIN(P335,0)</f>
        <v>0</v>
      </c>
      <c r="Q349" s="132">
        <f t="shared" si="245"/>
        <v>0</v>
      </c>
      <c r="R349" s="132">
        <f t="shared" si="245"/>
        <v>0</v>
      </c>
      <c r="S349" s="132">
        <f t="shared" si="245"/>
        <v>0</v>
      </c>
      <c r="T349" s="132">
        <f t="shared" si="245"/>
        <v>0</v>
      </c>
      <c r="U349" s="132">
        <f t="shared" si="245"/>
        <v>0</v>
      </c>
      <c r="V349" s="132"/>
      <c r="W349" s="407"/>
    </row>
    <row r="350" spans="2:23" x14ac:dyDescent="0.3">
      <c r="B350" s="1" t="s">
        <v>290</v>
      </c>
      <c r="D350" s="21"/>
      <c r="E350" s="21"/>
      <c r="F350" s="21"/>
      <c r="G350" s="21"/>
      <c r="O350" s="147"/>
      <c r="P350" s="145">
        <f t="shared" ref="P350:U350" si="246">-MIN(P348,P342)*P328</f>
        <v>0</v>
      </c>
      <c r="Q350" s="145">
        <f t="shared" ca="1" si="246"/>
        <v>0</v>
      </c>
      <c r="R350" s="145">
        <f t="shared" ca="1" si="246"/>
        <v>0</v>
      </c>
      <c r="S350" s="145">
        <f t="shared" ca="1" si="246"/>
        <v>0</v>
      </c>
      <c r="T350" s="145">
        <f t="shared" ca="1" si="246"/>
        <v>0</v>
      </c>
      <c r="U350" s="145">
        <f t="shared" ca="1" si="246"/>
        <v>0</v>
      </c>
      <c r="V350" s="132"/>
      <c r="W350" s="407"/>
    </row>
    <row r="351" spans="2:23" x14ac:dyDescent="0.3">
      <c r="B351" s="1" t="s">
        <v>291</v>
      </c>
      <c r="D351" s="21"/>
      <c r="E351" s="21"/>
      <c r="F351" s="21"/>
      <c r="G351" s="21"/>
      <c r="O351" s="148">
        <v>0</v>
      </c>
      <c r="P351" s="132">
        <f t="shared" ref="P351:U351" si="247">SUM(P348:P350)</f>
        <v>0</v>
      </c>
      <c r="Q351" s="132">
        <f t="shared" ca="1" si="247"/>
        <v>0</v>
      </c>
      <c r="R351" s="132">
        <f t="shared" ca="1" si="247"/>
        <v>0</v>
      </c>
      <c r="S351" s="132">
        <f t="shared" ca="1" si="247"/>
        <v>0</v>
      </c>
      <c r="T351" s="132">
        <f t="shared" ca="1" si="247"/>
        <v>0</v>
      </c>
      <c r="U351" s="132">
        <f t="shared" ca="1" si="247"/>
        <v>0</v>
      </c>
      <c r="V351" s="132"/>
      <c r="W351" s="407"/>
    </row>
    <row r="352" spans="2:23" x14ac:dyDescent="0.3">
      <c r="B352" s="149"/>
      <c r="C352" s="14"/>
      <c r="D352" s="21"/>
      <c r="E352" s="21"/>
      <c r="F352" s="21"/>
      <c r="G352" s="21"/>
      <c r="J352" s="148"/>
      <c r="K352" s="132"/>
      <c r="L352" s="132"/>
      <c r="M352" s="132"/>
      <c r="N352" s="132"/>
      <c r="O352" s="132"/>
      <c r="W352" s="407"/>
    </row>
    <row r="353" spans="1:23" x14ac:dyDescent="0.3">
      <c r="B353" s="149"/>
      <c r="C353" s="14"/>
      <c r="D353" s="21"/>
      <c r="E353" s="21"/>
      <c r="F353" s="21"/>
      <c r="G353" s="21"/>
      <c r="J353" s="148"/>
      <c r="K353" s="132"/>
      <c r="L353" s="132"/>
      <c r="M353" s="132"/>
      <c r="N353" s="132"/>
      <c r="O353" s="132"/>
      <c r="W353" s="407"/>
    </row>
    <row r="354" spans="1:23" x14ac:dyDescent="0.3">
      <c r="B354" s="150"/>
      <c r="C354" s="151"/>
      <c r="D354" s="125"/>
      <c r="E354" s="125"/>
      <c r="F354" s="125"/>
      <c r="G354" s="125"/>
      <c r="H354" s="68"/>
      <c r="I354" s="68"/>
      <c r="J354" s="152"/>
      <c r="K354" s="153"/>
      <c r="L354" s="153"/>
      <c r="M354" s="153"/>
      <c r="N354" s="153"/>
      <c r="O354" s="153"/>
      <c r="P354" s="68"/>
      <c r="Q354" s="68"/>
      <c r="R354" s="68"/>
      <c r="S354" s="68"/>
      <c r="T354" s="68"/>
      <c r="U354" s="68"/>
      <c r="W354" s="407"/>
    </row>
    <row r="355" spans="1:23" x14ac:dyDescent="0.3">
      <c r="B355" s="99" t="s">
        <v>292</v>
      </c>
      <c r="C355" s="14"/>
      <c r="D355" s="21"/>
      <c r="E355" s="21"/>
      <c r="F355" s="21"/>
      <c r="G355" s="21"/>
      <c r="J355" s="144"/>
      <c r="K355" s="144"/>
      <c r="L355" s="144"/>
      <c r="M355" s="144"/>
      <c r="N355" s="144"/>
      <c r="O355" s="144"/>
      <c r="W355" s="407"/>
    </row>
    <row r="356" spans="1:23" x14ac:dyDescent="0.3">
      <c r="B356" s="1" t="s">
        <v>293</v>
      </c>
      <c r="D356" s="21"/>
      <c r="E356" s="21"/>
      <c r="F356" s="32"/>
      <c r="G356" s="32"/>
      <c r="O356" s="132"/>
      <c r="P356" s="132">
        <f>P344*$E$330</f>
        <v>87243.674482987015</v>
      </c>
      <c r="Q356" s="132">
        <f t="shared" ref="Q356:U356" ca="1" si="248">Q344*$E$330</f>
        <v>101575.36442222644</v>
      </c>
      <c r="R356" s="132">
        <f t="shared" ca="1" si="248"/>
        <v>117453.5934053012</v>
      </c>
      <c r="S356" s="132">
        <f t="shared" ca="1" si="248"/>
        <v>135286.10748539274</v>
      </c>
      <c r="T356" s="132">
        <f t="shared" ca="1" si="248"/>
        <v>155397.15576973461</v>
      </c>
      <c r="U356" s="132">
        <f t="shared" ca="1" si="248"/>
        <v>206351.84542468516</v>
      </c>
      <c r="V356" s="132"/>
      <c r="W356" s="407"/>
    </row>
    <row r="357" spans="1:23" x14ac:dyDescent="0.3">
      <c r="B357" s="1" t="s">
        <v>294</v>
      </c>
      <c r="D357" s="21"/>
      <c r="E357" s="21"/>
      <c r="F357" s="21"/>
      <c r="G357" s="21"/>
      <c r="O357" s="144"/>
      <c r="P357" s="132">
        <f t="shared" ref="P357:T357" si="249">P358-P356</f>
        <v>29106.481336703015</v>
      </c>
      <c r="Q357" s="132">
        <f t="shared" ca="1" si="249"/>
        <v>28377.035227179935</v>
      </c>
      <c r="R357" s="132">
        <f t="shared" ca="1" si="249"/>
        <v>27954.426660419776</v>
      </c>
      <c r="S357" s="132">
        <f t="shared" ca="1" si="249"/>
        <v>27852.182511025836</v>
      </c>
      <c r="T357" s="132">
        <f t="shared" ca="1" si="249"/>
        <v>28087.650725552783</v>
      </c>
      <c r="U357" s="132">
        <f t="shared" ref="U357" ca="1" si="250">U358-U356</f>
        <v>0</v>
      </c>
      <c r="V357" s="132"/>
      <c r="W357" s="407"/>
    </row>
    <row r="358" spans="1:23" x14ac:dyDescent="0.3">
      <c r="B358" s="85" t="s">
        <v>295</v>
      </c>
      <c r="D358" s="21"/>
      <c r="E358" s="21"/>
      <c r="F358" s="21"/>
      <c r="G358" s="21"/>
      <c r="O358" s="144"/>
      <c r="P358" s="154">
        <f>P335*$E$330</f>
        <v>116350.15581969003</v>
      </c>
      <c r="Q358" s="154">
        <f t="shared" ref="Q358:U358" si="251">Q335*$E$330</f>
        <v>129952.39964940638</v>
      </c>
      <c r="R358" s="154">
        <f t="shared" si="251"/>
        <v>145408.02006572098</v>
      </c>
      <c r="S358" s="154">
        <f t="shared" si="251"/>
        <v>163138.28999641858</v>
      </c>
      <c r="T358" s="154">
        <f t="shared" si="251"/>
        <v>183484.8064952874</v>
      </c>
      <c r="U358" s="154">
        <f t="shared" si="251"/>
        <v>206351.84542468516</v>
      </c>
      <c r="V358" s="276"/>
      <c r="W358" s="407"/>
    </row>
    <row r="359" spans="1:23" x14ac:dyDescent="0.3">
      <c r="B359" s="64"/>
      <c r="C359" s="14"/>
      <c r="D359" s="21"/>
      <c r="E359" s="21"/>
      <c r="F359" s="21"/>
      <c r="G359" s="21"/>
      <c r="O359" s="21"/>
      <c r="P359" s="22"/>
      <c r="Q359" s="22"/>
      <c r="R359" s="22"/>
      <c r="S359" s="22"/>
      <c r="T359" s="22"/>
      <c r="W359" s="407"/>
    </row>
    <row r="360" spans="1:23" x14ac:dyDescent="0.3">
      <c r="B360" s="62"/>
      <c r="C360" s="62"/>
      <c r="D360" s="42"/>
      <c r="E360" s="42"/>
      <c r="F360" s="155"/>
      <c r="G360" s="155"/>
      <c r="O360" s="155"/>
      <c r="P360" s="156"/>
      <c r="Q360" s="156"/>
      <c r="R360" s="156"/>
      <c r="S360" s="156"/>
      <c r="T360" s="157"/>
      <c r="W360" s="407"/>
    </row>
    <row r="361" spans="1:23" x14ac:dyDescent="0.3">
      <c r="B361" s="158"/>
      <c r="C361" s="14"/>
      <c r="D361" s="21"/>
      <c r="E361" s="21"/>
      <c r="F361" s="21"/>
      <c r="G361" s="21"/>
      <c r="O361" s="21"/>
      <c r="P361" s="22"/>
      <c r="Q361" s="22"/>
      <c r="R361" s="22"/>
      <c r="S361" s="22"/>
      <c r="T361" s="123" t="s">
        <v>296</v>
      </c>
      <c r="W361" s="407"/>
    </row>
    <row r="362" spans="1:23" x14ac:dyDescent="0.3">
      <c r="B362" s="158"/>
      <c r="C362" s="14"/>
      <c r="D362" s="21"/>
      <c r="E362" s="21"/>
      <c r="F362" s="21"/>
      <c r="G362" s="21"/>
      <c r="O362" s="21"/>
      <c r="P362" s="22"/>
      <c r="Q362" s="22"/>
      <c r="R362" s="22"/>
      <c r="S362" s="22"/>
      <c r="T362" s="124" t="s">
        <v>297</v>
      </c>
      <c r="W362" s="407"/>
    </row>
    <row r="363" spans="1:23" x14ac:dyDescent="0.3">
      <c r="B363" s="158"/>
      <c r="C363" s="14"/>
      <c r="D363" s="21"/>
      <c r="E363" s="21"/>
      <c r="F363" s="21"/>
      <c r="G363" s="21"/>
      <c r="O363" s="21"/>
      <c r="P363" s="22"/>
      <c r="Q363" s="22"/>
      <c r="R363" s="22"/>
      <c r="S363" s="22"/>
      <c r="T363" s="124"/>
      <c r="W363" s="407"/>
    </row>
    <row r="364" spans="1:23" x14ac:dyDescent="0.3">
      <c r="B364" s="158"/>
      <c r="C364" s="14"/>
      <c r="D364" s="21"/>
      <c r="E364" s="21"/>
      <c r="F364" s="21"/>
      <c r="G364" s="21"/>
      <c r="O364" s="21"/>
      <c r="P364" s="22"/>
      <c r="Q364" s="22"/>
      <c r="R364" s="22"/>
      <c r="S364" s="22"/>
      <c r="T364" s="124"/>
      <c r="W364" s="407"/>
    </row>
    <row r="365" spans="1:23" x14ac:dyDescent="0.3">
      <c r="A365" t="s">
        <v>90</v>
      </c>
      <c r="B365" s="369" t="s">
        <v>406</v>
      </c>
      <c r="C365" s="368"/>
      <c r="D365" s="368"/>
      <c r="E365" s="368"/>
      <c r="F365" s="368"/>
      <c r="G365" s="371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69"/>
      <c r="W365" s="407"/>
    </row>
    <row r="366" spans="1:23" x14ac:dyDescent="0.3">
      <c r="B366" s="4" t="s">
        <v>8</v>
      </c>
      <c r="C366" s="14"/>
      <c r="D366" s="21"/>
      <c r="E366" s="21"/>
      <c r="F366" s="21"/>
      <c r="G366" s="74">
        <f>G324</f>
        <v>45382</v>
      </c>
      <c r="H366" s="74">
        <f t="shared" ref="H366:U366" si="252">H324</f>
        <v>45473</v>
      </c>
      <c r="I366" s="74">
        <f t="shared" si="252"/>
        <v>45565</v>
      </c>
      <c r="J366" s="74">
        <f t="shared" si="252"/>
        <v>45656</v>
      </c>
      <c r="K366" s="74">
        <f t="shared" si="252"/>
        <v>45746</v>
      </c>
      <c r="L366" s="74">
        <f t="shared" si="252"/>
        <v>45838</v>
      </c>
      <c r="M366" s="74">
        <f t="shared" si="252"/>
        <v>45930</v>
      </c>
      <c r="N366" s="74">
        <f t="shared" si="252"/>
        <v>46021</v>
      </c>
      <c r="O366" s="74">
        <f t="shared" si="252"/>
        <v>46111</v>
      </c>
      <c r="P366" s="74">
        <f t="shared" si="252"/>
        <v>46203</v>
      </c>
      <c r="Q366" s="74">
        <f t="shared" si="252"/>
        <v>46295</v>
      </c>
      <c r="R366" s="74">
        <f t="shared" si="252"/>
        <v>46386</v>
      </c>
      <c r="S366" s="74">
        <f t="shared" si="252"/>
        <v>46476</v>
      </c>
      <c r="T366" s="74">
        <f t="shared" si="252"/>
        <v>46568</v>
      </c>
      <c r="U366" s="170" t="str">
        <f t="shared" si="252"/>
        <v>Term</v>
      </c>
      <c r="W366" s="407"/>
    </row>
    <row r="367" spans="1:23" x14ac:dyDescent="0.3">
      <c r="B367" s="158"/>
      <c r="C367" s="14"/>
      <c r="D367" s="21"/>
      <c r="E367" s="21"/>
      <c r="F367" s="21"/>
      <c r="G367" s="21"/>
      <c r="O367" s="21"/>
      <c r="P367" s="22"/>
      <c r="Q367" s="22"/>
      <c r="R367" s="22"/>
      <c r="S367" s="22"/>
      <c r="T367" s="124"/>
      <c r="W367" s="407"/>
    </row>
    <row r="368" spans="1:23" x14ac:dyDescent="0.3">
      <c r="Q368" s="22"/>
      <c r="R368" s="22"/>
      <c r="S368" s="22"/>
      <c r="T368" s="124"/>
      <c r="W368" s="407"/>
    </row>
    <row r="369" spans="2:29" x14ac:dyDescent="0.3">
      <c r="B369" s="99" t="s">
        <v>131</v>
      </c>
      <c r="C369" s="14"/>
      <c r="D369" s="21"/>
      <c r="E369" s="21"/>
      <c r="F369" s="21"/>
      <c r="G369" s="21"/>
      <c r="H369" s="21"/>
      <c r="I369" s="22"/>
      <c r="J369" s="22"/>
      <c r="K369" s="22"/>
      <c r="L369" s="22"/>
      <c r="M369" s="22"/>
      <c r="Q369" s="22"/>
      <c r="R369" s="22"/>
      <c r="S369" s="22"/>
      <c r="T369" s="124"/>
      <c r="W369" s="407"/>
    </row>
    <row r="370" spans="2:29" x14ac:dyDescent="0.3">
      <c r="B370" s="1" t="s">
        <v>407</v>
      </c>
      <c r="D370" s="21"/>
      <c r="E370" s="21"/>
      <c r="F370" s="21"/>
      <c r="G370" s="21"/>
      <c r="O370" s="279"/>
      <c r="P370" s="279">
        <f>O372</f>
        <v>3035637</v>
      </c>
      <c r="Q370" s="279">
        <f t="shared" ref="Q370" ca="1" si="253">P372</f>
        <v>3389817.4586180779</v>
      </c>
      <c r="R370" s="279">
        <f ca="1">Q372</f>
        <v>3790276.5874585109</v>
      </c>
      <c r="S370" s="279">
        <f ca="1">R372</f>
        <v>4167502.9178184043</v>
      </c>
      <c r="T370" s="279">
        <f ca="1">S372</f>
        <v>4624999.0785087338</v>
      </c>
      <c r="U370" s="279">
        <f ca="1">T372</f>
        <v>5158950.5827996423</v>
      </c>
      <c r="W370" s="407"/>
    </row>
    <row r="371" spans="2:29" x14ac:dyDescent="0.3">
      <c r="B371" s="1" t="s">
        <v>408</v>
      </c>
      <c r="D371" s="21"/>
      <c r="E371" s="21"/>
      <c r="F371" s="21"/>
      <c r="G371" s="21"/>
      <c r="O371" s="283"/>
      <c r="P371" s="284">
        <f t="shared" ref="P371:U371" ca="1" si="254">P73</f>
        <v>354180.45861807792</v>
      </c>
      <c r="Q371" s="284">
        <f t="shared" ca="1" si="254"/>
        <v>400459.1288404332</v>
      </c>
      <c r="R371" s="284">
        <f t="shared" ca="1" si="254"/>
        <v>377226.33035989356</v>
      </c>
      <c r="S371" s="284">
        <f t="shared" ca="1" si="254"/>
        <v>457496.16069032939</v>
      </c>
      <c r="T371" s="284">
        <f t="shared" ca="1" si="254"/>
        <v>533951.50429090881</v>
      </c>
      <c r="U371" s="284">
        <f t="shared" si="254"/>
        <v>0</v>
      </c>
      <c r="W371" s="407"/>
    </row>
    <row r="372" spans="2:29" x14ac:dyDescent="0.3">
      <c r="B372" s="1" t="s">
        <v>409</v>
      </c>
      <c r="D372" s="21"/>
      <c r="E372" s="21"/>
      <c r="F372" s="21"/>
      <c r="G372" s="21"/>
      <c r="O372" s="279">
        <v>3035637</v>
      </c>
      <c r="P372" s="279">
        <f t="shared" ref="P372" ca="1" si="255">SUM(P370:P371)</f>
        <v>3389817.4586180779</v>
      </c>
      <c r="Q372" s="279">
        <f ca="1">SUM(Q370:Q371)</f>
        <v>3790276.5874585109</v>
      </c>
      <c r="R372" s="279">
        <f ca="1">SUM(R370:R371)</f>
        <v>4167502.9178184043</v>
      </c>
      <c r="S372" s="279">
        <f ca="1">SUM(S370:S371)</f>
        <v>4624999.0785087338</v>
      </c>
      <c r="T372" s="279">
        <f ca="1">SUM(T370:T371)</f>
        <v>5158950.5827996423</v>
      </c>
      <c r="U372" s="279">
        <f ca="1">SUM(U370:U371)</f>
        <v>5158950.5827996423</v>
      </c>
      <c r="W372" s="407"/>
    </row>
    <row r="373" spans="2:29" x14ac:dyDescent="0.3">
      <c r="B373" s="1"/>
      <c r="O373" s="285"/>
      <c r="P373" s="285"/>
      <c r="Q373" s="285"/>
      <c r="R373" s="285"/>
      <c r="S373" s="285"/>
      <c r="T373" s="285"/>
      <c r="U373" s="285"/>
      <c r="W373" s="407"/>
    </row>
    <row r="374" spans="2:29" x14ac:dyDescent="0.3">
      <c r="B374" s="1" t="s">
        <v>410</v>
      </c>
      <c r="D374" s="21"/>
      <c r="E374" s="21"/>
      <c r="F374" s="279"/>
      <c r="G374" s="21"/>
      <c r="O374" s="286"/>
      <c r="P374" s="287">
        <f>Inputs!F27</f>
        <v>0.01</v>
      </c>
      <c r="Q374" s="287">
        <f>P374</f>
        <v>0.01</v>
      </c>
      <c r="R374" s="287">
        <f>Q374</f>
        <v>0.01</v>
      </c>
      <c r="S374" s="287">
        <f>R374</f>
        <v>0.01</v>
      </c>
      <c r="T374" s="287">
        <f>S374</f>
        <v>0.01</v>
      </c>
      <c r="U374" s="287">
        <f>T374</f>
        <v>0.01</v>
      </c>
      <c r="W374" s="407"/>
    </row>
    <row r="375" spans="2:29" x14ac:dyDescent="0.3">
      <c r="B375" s="85" t="s">
        <v>411</v>
      </c>
      <c r="F375" s="279"/>
      <c r="G375" s="288"/>
      <c r="O375" s="285"/>
      <c r="P375" s="289">
        <f ca="1">AVERAGE(P370,P372)*P374</f>
        <v>32127.272293090391</v>
      </c>
      <c r="Q375" s="289">
        <f t="shared" ref="Q375:U375" ca="1" si="256">AVERAGE(Q370,Q372)*Q374</f>
        <v>35900.47023038294</v>
      </c>
      <c r="R375" s="289">
        <f t="shared" ca="1" si="256"/>
        <v>39788.897526384571</v>
      </c>
      <c r="S375" s="289">
        <f t="shared" ca="1" si="256"/>
        <v>43962.509981635689</v>
      </c>
      <c r="T375" s="289">
        <f t="shared" ca="1" si="256"/>
        <v>48919.748306541878</v>
      </c>
      <c r="U375" s="289">
        <f t="shared" ca="1" si="256"/>
        <v>51589.505827996421</v>
      </c>
      <c r="W375" s="407"/>
    </row>
    <row r="376" spans="2:29" x14ac:dyDescent="0.3">
      <c r="B376" s="85"/>
      <c r="F376" s="279"/>
      <c r="G376" s="288"/>
      <c r="O376" s="285"/>
      <c r="P376" s="289"/>
      <c r="Q376" s="289"/>
      <c r="R376" s="289"/>
      <c r="S376" s="289"/>
      <c r="T376" s="289"/>
      <c r="W376" s="407"/>
    </row>
    <row r="377" spans="2:29" x14ac:dyDescent="0.3">
      <c r="W377" s="407"/>
    </row>
    <row r="378" spans="2:29" x14ac:dyDescent="0.3"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W378" s="407"/>
    </row>
    <row r="379" spans="2:29" x14ac:dyDescent="0.3">
      <c r="B379" s="99" t="s">
        <v>437</v>
      </c>
      <c r="C379" s="14"/>
      <c r="D379" s="21"/>
      <c r="E379" s="21"/>
      <c r="F379" s="21"/>
      <c r="G379" s="21"/>
      <c r="O379" s="21"/>
      <c r="P379" s="22"/>
      <c r="Q379" s="22"/>
      <c r="R379" s="22"/>
      <c r="S379" s="22"/>
      <c r="T379" s="22"/>
      <c r="W379" s="407"/>
    </row>
    <row r="380" spans="2:29" x14ac:dyDescent="0.3">
      <c r="B380" s="1" t="s">
        <v>407</v>
      </c>
      <c r="D380" s="21"/>
      <c r="E380" s="21"/>
      <c r="F380" s="21"/>
      <c r="G380" s="21"/>
      <c r="O380" s="290"/>
      <c r="P380" s="279">
        <f>O383</f>
        <v>860026</v>
      </c>
      <c r="Q380" s="279">
        <f>P383</f>
        <v>857523</v>
      </c>
      <c r="R380" s="279">
        <f>Q383</f>
        <v>856913</v>
      </c>
      <c r="S380" s="279">
        <f>R383</f>
        <v>854201.75</v>
      </c>
      <c r="T380" s="279">
        <f>S383</f>
        <v>853616.75</v>
      </c>
      <c r="W380" s="407"/>
    </row>
    <row r="381" spans="2:29" x14ac:dyDescent="0.3">
      <c r="B381" s="1" t="s">
        <v>456</v>
      </c>
      <c r="D381" s="21"/>
      <c r="E381" s="21"/>
      <c r="F381" s="21"/>
      <c r="G381" s="21"/>
      <c r="O381" s="290"/>
      <c r="P381" s="279">
        <f>P62</f>
        <v>-50060</v>
      </c>
      <c r="Q381" s="279">
        <f t="shared" ref="Q381:T381" si="257">Q62</f>
        <v>-12200</v>
      </c>
      <c r="R381" s="279">
        <f t="shared" si="257"/>
        <v>-54225</v>
      </c>
      <c r="S381" s="279">
        <f t="shared" si="257"/>
        <v>-11700</v>
      </c>
      <c r="T381" s="279">
        <f t="shared" si="257"/>
        <v>-43400</v>
      </c>
      <c r="W381" s="407"/>
      <c r="Y381" s="279"/>
      <c r="Z381" s="279"/>
      <c r="AA381" s="279"/>
      <c r="AB381" s="279"/>
      <c r="AC381" s="279"/>
    </row>
    <row r="382" spans="2:29" x14ac:dyDescent="0.3">
      <c r="B382" s="1" t="s">
        <v>455</v>
      </c>
      <c r="D382" s="21"/>
      <c r="E382" s="21"/>
      <c r="F382" s="21"/>
      <c r="G382" s="21"/>
      <c r="O382" s="291"/>
      <c r="P382" s="292">
        <f>P381*-0.95</f>
        <v>47557</v>
      </c>
      <c r="Q382" s="292">
        <f t="shared" ref="Q382:T382" si="258">Q381*-0.95</f>
        <v>11590</v>
      </c>
      <c r="R382" s="292">
        <f t="shared" si="258"/>
        <v>51513.75</v>
      </c>
      <c r="S382" s="292">
        <f t="shared" si="258"/>
        <v>11115</v>
      </c>
      <c r="T382" s="292">
        <f t="shared" si="258"/>
        <v>41230</v>
      </c>
      <c r="W382" s="407"/>
    </row>
    <row r="383" spans="2:29" x14ac:dyDescent="0.3">
      <c r="B383" s="1" t="s">
        <v>409</v>
      </c>
      <c r="D383" s="21"/>
      <c r="E383" s="21"/>
      <c r="F383" s="21"/>
      <c r="G383" s="21"/>
      <c r="O383" s="279">
        <v>860026</v>
      </c>
      <c r="P383" s="279">
        <f>SUM(P380:P382)</f>
        <v>857523</v>
      </c>
      <c r="Q383" s="279">
        <f>SUM(Q380:Q382)</f>
        <v>856913</v>
      </c>
      <c r="R383" s="279">
        <f>SUM(R380:R382)</f>
        <v>854201.75</v>
      </c>
      <c r="S383" s="279">
        <f>SUM(S380:S382)</f>
        <v>853616.75</v>
      </c>
      <c r="T383" s="279">
        <f>SUM(T380:T382)</f>
        <v>851446.75</v>
      </c>
      <c r="W383" s="407"/>
    </row>
    <row r="384" spans="2:29" x14ac:dyDescent="0.3">
      <c r="B384" s="1"/>
      <c r="O384" s="280"/>
      <c r="P384" s="280"/>
      <c r="Q384" s="280"/>
      <c r="R384" s="280"/>
      <c r="S384" s="280"/>
      <c r="T384" s="280"/>
      <c r="W384" s="407"/>
    </row>
    <row r="385" spans="1:23" x14ac:dyDescent="0.3">
      <c r="B385" s="1" t="s">
        <v>410</v>
      </c>
      <c r="D385" s="21"/>
      <c r="E385" s="21"/>
      <c r="F385" s="21"/>
      <c r="G385" s="21"/>
      <c r="O385" s="293"/>
      <c r="P385" s="294">
        <f>Inputs!F29</f>
        <v>6.0000000000000001E-3</v>
      </c>
      <c r="Q385" s="294">
        <v>6.0000000000000001E-3</v>
      </c>
      <c r="R385" s="294">
        <v>6.0000000000000001E-3</v>
      </c>
      <c r="S385" s="294">
        <v>6.0000000000000001E-3</v>
      </c>
      <c r="T385" s="294">
        <v>7.0000000000000001E-3</v>
      </c>
      <c r="W385" s="407"/>
    </row>
    <row r="386" spans="1:23" x14ac:dyDescent="0.3">
      <c r="B386" s="85" t="s">
        <v>124</v>
      </c>
      <c r="O386" s="280"/>
      <c r="P386" s="289">
        <f>AVERAGE(P380,P383)*P385</f>
        <v>5152.6469999999999</v>
      </c>
      <c r="Q386" s="289">
        <f>AVERAGE(Q380,Q383)*Q385</f>
        <v>5143.308</v>
      </c>
      <c r="R386" s="289">
        <f>AVERAGE(R380,R383)*R385</f>
        <v>5133.3442500000001</v>
      </c>
      <c r="S386" s="289">
        <f>AVERAGE(S380,S383)*S385</f>
        <v>5123.4555</v>
      </c>
      <c r="T386" s="289">
        <f>AVERAGE(T380,T383)*T385</f>
        <v>5967.7222499999998</v>
      </c>
      <c r="W386" s="407"/>
    </row>
    <row r="387" spans="1:23" x14ac:dyDescent="0.3">
      <c r="B387" s="85"/>
      <c r="O387" s="280"/>
      <c r="P387" s="289"/>
      <c r="Q387" s="289"/>
      <c r="R387" s="289"/>
      <c r="S387" s="289"/>
      <c r="T387" s="289"/>
      <c r="W387" s="414" t="s">
        <v>442</v>
      </c>
    </row>
    <row r="388" spans="1:23" x14ac:dyDescent="0.3">
      <c r="B388" s="3" t="s">
        <v>440</v>
      </c>
      <c r="W388" s="407"/>
    </row>
    <row r="389" spans="1:23" x14ac:dyDescent="0.3">
      <c r="B389" s="1" t="s">
        <v>407</v>
      </c>
      <c r="D389" s="21"/>
      <c r="E389" s="21"/>
      <c r="F389" s="21"/>
      <c r="G389" s="21"/>
      <c r="O389" s="290"/>
      <c r="P389" s="279">
        <f t="shared" ref="P389:T389" si="259">O391</f>
        <v>40991.671999999999</v>
      </c>
      <c r="Q389" s="279">
        <f t="shared" si="259"/>
        <v>40991.671999999999</v>
      </c>
      <c r="R389" s="279">
        <f t="shared" si="259"/>
        <v>40991.671999999999</v>
      </c>
      <c r="S389" s="279">
        <f t="shared" si="259"/>
        <v>40991.671999999999</v>
      </c>
      <c r="T389" s="279">
        <f t="shared" si="259"/>
        <v>40991.671999999999</v>
      </c>
      <c r="W389" s="414" t="s">
        <v>441</v>
      </c>
    </row>
    <row r="390" spans="1:23" x14ac:dyDescent="0.3">
      <c r="B390" s="1" t="s">
        <v>408</v>
      </c>
      <c r="D390" s="21"/>
      <c r="E390" s="21"/>
      <c r="F390" s="21"/>
      <c r="G390" s="21"/>
      <c r="O390" s="291"/>
      <c r="P390" s="292">
        <v>0</v>
      </c>
      <c r="Q390" s="292">
        <v>0</v>
      </c>
      <c r="R390" s="292">
        <v>0</v>
      </c>
      <c r="S390" s="292">
        <v>0</v>
      </c>
      <c r="T390" s="292">
        <v>0</v>
      </c>
      <c r="W390" s="407"/>
    </row>
    <row r="391" spans="1:23" x14ac:dyDescent="0.3">
      <c r="B391" s="1" t="s">
        <v>409</v>
      </c>
      <c r="D391" s="21"/>
      <c r="E391" s="21"/>
      <c r="F391" s="21"/>
      <c r="G391" s="21"/>
      <c r="O391" s="279">
        <f>AG119</f>
        <v>40991.671999999999</v>
      </c>
      <c r="P391" s="279">
        <f t="shared" ref="P391" si="260">SUM(P389:P390)</f>
        <v>40991.671999999999</v>
      </c>
      <c r="Q391" s="279">
        <f t="shared" ref="Q391:T391" si="261">SUM(Q389:Q390)</f>
        <v>40991.671999999999</v>
      </c>
      <c r="R391" s="279">
        <f t="shared" si="261"/>
        <v>40991.671999999999</v>
      </c>
      <c r="S391" s="279">
        <f t="shared" si="261"/>
        <v>40991.671999999999</v>
      </c>
      <c r="T391" s="279">
        <f t="shared" si="261"/>
        <v>40991.671999999999</v>
      </c>
      <c r="W391" s="407"/>
    </row>
    <row r="392" spans="1:23" x14ac:dyDescent="0.3">
      <c r="B392" s="1"/>
      <c r="O392" s="280"/>
      <c r="P392" s="280"/>
      <c r="Q392" s="280"/>
      <c r="R392" s="280"/>
      <c r="S392" s="280"/>
      <c r="T392" s="280"/>
      <c r="W392" s="407"/>
    </row>
    <row r="393" spans="1:23" x14ac:dyDescent="0.3">
      <c r="B393" s="1" t="s">
        <v>410</v>
      </c>
      <c r="D393" s="21"/>
      <c r="E393" s="21"/>
      <c r="F393" s="21"/>
      <c r="G393" s="21"/>
      <c r="O393" s="293"/>
      <c r="P393" s="294">
        <f>Inputs!F30</f>
        <v>5.0000000000000001E-3</v>
      </c>
      <c r="Q393" s="294">
        <f>P393</f>
        <v>5.0000000000000001E-3</v>
      </c>
      <c r="R393" s="294">
        <f>Q393</f>
        <v>5.0000000000000001E-3</v>
      </c>
      <c r="S393" s="294">
        <f>R393</f>
        <v>5.0000000000000001E-3</v>
      </c>
      <c r="T393" s="294">
        <f>S393</f>
        <v>5.0000000000000001E-3</v>
      </c>
      <c r="W393" s="407"/>
    </row>
    <row r="394" spans="1:23" x14ac:dyDescent="0.3">
      <c r="B394" s="85" t="s">
        <v>124</v>
      </c>
      <c r="O394" s="280"/>
      <c r="P394" s="289">
        <f t="shared" ref="P394:T394" si="262">AVERAGE(P389,P391)*P393</f>
        <v>204.95836</v>
      </c>
      <c r="Q394" s="289">
        <f t="shared" si="262"/>
        <v>204.95836</v>
      </c>
      <c r="R394" s="289">
        <f t="shared" si="262"/>
        <v>204.95836</v>
      </c>
      <c r="S394" s="289">
        <f t="shared" si="262"/>
        <v>204.95836</v>
      </c>
      <c r="T394" s="289">
        <f t="shared" si="262"/>
        <v>204.95836</v>
      </c>
      <c r="W394" s="407"/>
    </row>
    <row r="395" spans="1:23" x14ac:dyDescent="0.3">
      <c r="W395" s="407"/>
    </row>
    <row r="396" spans="1:23" x14ac:dyDescent="0.3">
      <c r="W396" s="407"/>
    </row>
    <row r="397" spans="1:23" x14ac:dyDescent="0.3">
      <c r="A397" t="s">
        <v>90</v>
      </c>
      <c r="B397" s="369" t="s">
        <v>412</v>
      </c>
      <c r="C397" s="368"/>
      <c r="D397" s="368"/>
      <c r="E397" s="368"/>
      <c r="F397" s="368"/>
      <c r="G397" s="371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69"/>
      <c r="W397" s="407"/>
    </row>
    <row r="398" spans="1:23" x14ac:dyDescent="0.3">
      <c r="B398" s="4" t="s">
        <v>8</v>
      </c>
      <c r="W398" s="407"/>
    </row>
    <row r="399" spans="1:23" x14ac:dyDescent="0.3">
      <c r="F399" s="228"/>
      <c r="G399" s="74">
        <f>G366</f>
        <v>45382</v>
      </c>
      <c r="H399" s="74">
        <f t="shared" ref="H399:U399" si="263">H366</f>
        <v>45473</v>
      </c>
      <c r="I399" s="74">
        <f t="shared" si="263"/>
        <v>45565</v>
      </c>
      <c r="J399" s="74">
        <f t="shared" si="263"/>
        <v>45656</v>
      </c>
      <c r="K399" s="74">
        <f t="shared" si="263"/>
        <v>45746</v>
      </c>
      <c r="L399" s="74">
        <f t="shared" si="263"/>
        <v>45838</v>
      </c>
      <c r="M399" s="74">
        <f t="shared" si="263"/>
        <v>45930</v>
      </c>
      <c r="N399" s="74">
        <f t="shared" si="263"/>
        <v>46021</v>
      </c>
      <c r="O399" s="74">
        <f t="shared" si="263"/>
        <v>46111</v>
      </c>
      <c r="P399" s="74">
        <f t="shared" si="263"/>
        <v>46203</v>
      </c>
      <c r="Q399" s="74">
        <f t="shared" si="263"/>
        <v>46295</v>
      </c>
      <c r="R399" s="74">
        <f t="shared" si="263"/>
        <v>46386</v>
      </c>
      <c r="S399" s="74">
        <f t="shared" si="263"/>
        <v>46476</v>
      </c>
      <c r="T399" s="74">
        <f t="shared" si="263"/>
        <v>46568</v>
      </c>
      <c r="U399" s="170" t="str">
        <f t="shared" si="263"/>
        <v>Term</v>
      </c>
      <c r="W399" s="407"/>
    </row>
    <row r="400" spans="1:23" x14ac:dyDescent="0.3">
      <c r="W400" s="407"/>
    </row>
    <row r="401" spans="2:23" x14ac:dyDescent="0.3">
      <c r="B401" s="99" t="s">
        <v>413</v>
      </c>
      <c r="C401" s="14"/>
      <c r="O401" s="21"/>
      <c r="P401" s="22"/>
      <c r="Q401" s="22"/>
      <c r="R401" s="22"/>
      <c r="S401" s="22"/>
      <c r="T401" s="22"/>
      <c r="W401" s="407"/>
    </row>
    <row r="402" spans="2:23" x14ac:dyDescent="0.3">
      <c r="B402" s="1" t="s">
        <v>414</v>
      </c>
      <c r="O402" s="132"/>
      <c r="P402" s="290">
        <f>P75</f>
        <v>3035637</v>
      </c>
      <c r="Q402" s="290">
        <f ca="1">Q75</f>
        <v>3389817.4586180779</v>
      </c>
      <c r="R402" s="290">
        <f ca="1">R75</f>
        <v>3790276.5874585109</v>
      </c>
      <c r="S402" s="290">
        <f ca="1">S75</f>
        <v>4167502.9178184043</v>
      </c>
      <c r="T402" s="290">
        <f ca="1">T75</f>
        <v>4624999.0785087338</v>
      </c>
      <c r="W402" s="407"/>
    </row>
    <row r="403" spans="2:23" x14ac:dyDescent="0.3">
      <c r="B403" s="1" t="s">
        <v>415</v>
      </c>
      <c r="D403" s="21"/>
      <c r="E403" s="21"/>
      <c r="F403" s="21"/>
      <c r="G403" s="21"/>
      <c r="O403" s="132"/>
      <c r="P403" s="290">
        <f ca="1">P45</f>
        <v>890969.72917701106</v>
      </c>
      <c r="Q403" s="290">
        <f ca="1">Q45</f>
        <v>942737.47921965516</v>
      </c>
      <c r="R403" s="290">
        <f ca="1">R45</f>
        <v>1043969.6115860272</v>
      </c>
      <c r="S403" s="290">
        <f ca="1">S45</f>
        <v>1162765.0913601252</v>
      </c>
      <c r="T403" s="290">
        <f ca="1">T45</f>
        <v>1312644.0512390886</v>
      </c>
      <c r="W403" s="407"/>
    </row>
    <row r="404" spans="2:23" x14ac:dyDescent="0.3">
      <c r="B404" s="1" t="s">
        <v>416</v>
      </c>
      <c r="D404" s="21"/>
      <c r="E404" s="21"/>
      <c r="F404" s="21"/>
      <c r="G404" s="21"/>
      <c r="O404" s="132"/>
      <c r="P404" s="290">
        <f ca="1">P57</f>
        <v>-381554.16832698107</v>
      </c>
      <c r="Q404" s="290">
        <f ca="1">Q57</f>
        <v>-373551.79387937248</v>
      </c>
      <c r="R404" s="290">
        <f ca="1">R57</f>
        <v>-478664.80229985993</v>
      </c>
      <c r="S404" s="290">
        <f ca="1">S57</f>
        <v>-499772.49885435554</v>
      </c>
      <c r="T404" s="290">
        <f ca="1">T57</f>
        <v>-548716.55030949309</v>
      </c>
      <c r="W404" s="407"/>
    </row>
    <row r="405" spans="2:23" x14ac:dyDescent="0.3">
      <c r="B405" s="1" t="s">
        <v>417</v>
      </c>
      <c r="P405" s="290"/>
      <c r="Q405" s="290"/>
      <c r="R405" s="290"/>
      <c r="S405" s="290"/>
      <c r="T405" s="290"/>
      <c r="W405" s="407"/>
    </row>
    <row r="406" spans="2:23" x14ac:dyDescent="0.3">
      <c r="B406" s="1" t="s">
        <v>418</v>
      </c>
      <c r="P406" s="290">
        <f>P433</f>
        <v>0</v>
      </c>
      <c r="Q406" s="290">
        <f t="shared" ref="Q406:T406" si="264">Q433</f>
        <v>0</v>
      </c>
      <c r="R406" s="290">
        <f t="shared" si="264"/>
        <v>0</v>
      </c>
      <c r="S406" s="290">
        <f t="shared" si="264"/>
        <v>0</v>
      </c>
      <c r="T406" s="290">
        <f t="shared" si="264"/>
        <v>0</v>
      </c>
      <c r="W406" s="407"/>
    </row>
    <row r="407" spans="2:23" x14ac:dyDescent="0.3">
      <c r="B407" s="1" t="s">
        <v>419</v>
      </c>
      <c r="P407" s="292">
        <f ca="1">P438*-1</f>
        <v>-146026.49687195205</v>
      </c>
      <c r="Q407" s="292">
        <f t="shared" ref="Q407:T407" ca="1" si="265">Q438*-1</f>
        <v>-161420.29013984953</v>
      </c>
      <c r="R407" s="292">
        <f t="shared" ca="1" si="265"/>
        <v>-178680.92631627369</v>
      </c>
      <c r="S407" s="292">
        <f t="shared" ca="1" si="265"/>
        <v>-198235.0179554403</v>
      </c>
      <c r="T407" s="292">
        <f t="shared" ca="1" si="265"/>
        <v>-220285.31602868668</v>
      </c>
      <c r="W407" s="407"/>
    </row>
    <row r="408" spans="2:23" x14ac:dyDescent="0.3">
      <c r="B408" s="85" t="s">
        <v>420</v>
      </c>
      <c r="P408" s="295">
        <f ca="1">SUM(P402:P407)</f>
        <v>3399026.0639780783</v>
      </c>
      <c r="Q408" s="295">
        <f ca="1">SUM(Q402:Q407)</f>
        <v>3797582.8538185107</v>
      </c>
      <c r="R408" s="295">
        <f ca="1">SUM(R402:R407)</f>
        <v>4176900.4704284039</v>
      </c>
      <c r="S408" s="295">
        <f ca="1">SUM(S402:S407)</f>
        <v>4632260.4923687335</v>
      </c>
      <c r="T408" s="295">
        <f ca="1">SUM(T402:T407)</f>
        <v>5168641.2634096434</v>
      </c>
      <c r="W408" s="407"/>
    </row>
    <row r="409" spans="2:23" x14ac:dyDescent="0.3">
      <c r="W409" s="407"/>
    </row>
    <row r="410" spans="2:23" x14ac:dyDescent="0.3">
      <c r="W410" s="407"/>
    </row>
    <row r="411" spans="2:23" x14ac:dyDescent="0.3"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W411" s="407"/>
    </row>
    <row r="412" spans="2:23" x14ac:dyDescent="0.3">
      <c r="B412" s="99" t="s">
        <v>421</v>
      </c>
      <c r="C412" s="14"/>
      <c r="O412" s="21"/>
      <c r="P412" s="22"/>
      <c r="Q412" s="22"/>
      <c r="R412" s="22"/>
      <c r="S412" s="22"/>
      <c r="T412" s="22"/>
      <c r="W412" s="407"/>
    </row>
    <row r="413" spans="2:23" x14ac:dyDescent="0.3">
      <c r="B413" s="1" t="s">
        <v>407</v>
      </c>
      <c r="D413" s="21"/>
      <c r="E413" s="21"/>
      <c r="F413" s="21"/>
      <c r="G413" s="21"/>
      <c r="O413" s="290"/>
      <c r="P413" s="290">
        <f t="shared" ref="P413:T413" si="266">O415</f>
        <v>0</v>
      </c>
      <c r="Q413" s="290">
        <f t="shared" ca="1" si="266"/>
        <v>0</v>
      </c>
      <c r="R413" s="290">
        <f t="shared" ca="1" si="266"/>
        <v>0</v>
      </c>
      <c r="S413" s="290">
        <f t="shared" ca="1" si="266"/>
        <v>0</v>
      </c>
      <c r="T413" s="290">
        <f t="shared" ca="1" si="266"/>
        <v>0</v>
      </c>
      <c r="W413" s="407"/>
    </row>
    <row r="414" spans="2:23" x14ac:dyDescent="0.3">
      <c r="B414" s="1" t="s">
        <v>408</v>
      </c>
      <c r="D414" s="21"/>
      <c r="E414" s="21"/>
      <c r="F414" s="21"/>
      <c r="G414" s="21"/>
      <c r="O414" s="291"/>
      <c r="P414" s="292">
        <f ca="1">MIN(P408,P413)*-1</f>
        <v>0</v>
      </c>
      <c r="Q414" s="292">
        <f t="shared" ref="Q414:T414" ca="1" si="267">MIN(Q408,Q413)*-1</f>
        <v>0</v>
      </c>
      <c r="R414" s="292">
        <f t="shared" ca="1" si="267"/>
        <v>0</v>
      </c>
      <c r="S414" s="292">
        <f t="shared" ca="1" si="267"/>
        <v>0</v>
      </c>
      <c r="T414" s="292">
        <f t="shared" ca="1" si="267"/>
        <v>0</v>
      </c>
      <c r="W414" s="407"/>
    </row>
    <row r="415" spans="2:23" x14ac:dyDescent="0.3">
      <c r="B415" s="1" t="s">
        <v>409</v>
      </c>
      <c r="D415" s="21"/>
      <c r="E415" s="21"/>
      <c r="F415" s="21"/>
      <c r="G415" s="21"/>
      <c r="O415" s="290">
        <v>0</v>
      </c>
      <c r="P415" s="290">
        <f t="shared" ref="P415" ca="1" si="268">SUM(P413:P414)</f>
        <v>0</v>
      </c>
      <c r="Q415" s="290">
        <f t="shared" ref="Q415:T415" ca="1" si="269">SUM(Q413:Q414)</f>
        <v>0</v>
      </c>
      <c r="R415" s="290">
        <f t="shared" ca="1" si="269"/>
        <v>0</v>
      </c>
      <c r="S415" s="290">
        <f t="shared" ca="1" si="269"/>
        <v>0</v>
      </c>
      <c r="T415" s="290">
        <f t="shared" ca="1" si="269"/>
        <v>0</v>
      </c>
      <c r="W415" s="407"/>
    </row>
    <row r="416" spans="2:23" x14ac:dyDescent="0.3">
      <c r="B416" s="1"/>
      <c r="D416" s="21"/>
      <c r="E416" s="21"/>
      <c r="F416" s="21"/>
      <c r="G416" s="21"/>
      <c r="O416" s="132"/>
      <c r="P416" s="132"/>
      <c r="Q416" s="132"/>
      <c r="R416" s="132"/>
      <c r="S416" s="132"/>
      <c r="T416" s="132"/>
      <c r="W416" s="407"/>
    </row>
    <row r="417" spans="1:23" x14ac:dyDescent="0.3">
      <c r="B417" s="1" t="s">
        <v>410</v>
      </c>
      <c r="D417" s="21"/>
      <c r="E417" s="21"/>
      <c r="F417" s="290"/>
      <c r="G417" s="21"/>
      <c r="O417" s="144"/>
      <c r="P417" s="296">
        <f>Inputs!F28</f>
        <v>1.125E-2</v>
      </c>
      <c r="Q417" s="296">
        <f>P417</f>
        <v>1.125E-2</v>
      </c>
      <c r="R417" s="296">
        <f>Q417</f>
        <v>1.125E-2</v>
      </c>
      <c r="S417" s="296">
        <f>R417</f>
        <v>1.125E-2</v>
      </c>
      <c r="T417" s="296">
        <f>S417</f>
        <v>1.125E-2</v>
      </c>
      <c r="W417" s="407"/>
    </row>
    <row r="418" spans="1:23" x14ac:dyDescent="0.3">
      <c r="B418" s="1" t="s">
        <v>124</v>
      </c>
      <c r="F418" s="290"/>
      <c r="G418" s="288"/>
      <c r="P418" s="290">
        <f>IF($F$347=1,AVERAGE(P413,P415)*P417,P413*P417)</f>
        <v>0</v>
      </c>
      <c r="Q418" s="290">
        <f t="shared" ref="Q418:T418" ca="1" si="270">IF($F$347=1,AVERAGE(Q413,Q415)*Q417,Q413*Q417)</f>
        <v>0</v>
      </c>
      <c r="R418" s="290">
        <f t="shared" ca="1" si="270"/>
        <v>0</v>
      </c>
      <c r="S418" s="290">
        <f t="shared" ca="1" si="270"/>
        <v>0</v>
      </c>
      <c r="T418" s="290">
        <f t="shared" ca="1" si="270"/>
        <v>0</v>
      </c>
      <c r="W418" s="407"/>
    </row>
    <row r="419" spans="1:23" x14ac:dyDescent="0.3">
      <c r="B419" s="1"/>
      <c r="F419" s="290"/>
      <c r="G419" s="288"/>
      <c r="P419" s="290"/>
      <c r="Q419" s="290"/>
      <c r="R419" s="290"/>
      <c r="S419" s="290"/>
      <c r="T419" s="290"/>
      <c r="W419" s="407"/>
    </row>
    <row r="420" spans="1:23" x14ac:dyDescent="0.3">
      <c r="W420" s="407"/>
    </row>
    <row r="421" spans="1:23" x14ac:dyDescent="0.3"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W421" s="407"/>
    </row>
    <row r="422" spans="1:23" x14ac:dyDescent="0.3">
      <c r="B422" s="1" t="s">
        <v>411</v>
      </c>
      <c r="P422" s="290">
        <f t="shared" ref="P422:S422" ca="1" si="271">P375</f>
        <v>32127.272293090391</v>
      </c>
      <c r="Q422" s="290">
        <f t="shared" ca="1" si="271"/>
        <v>35900.47023038294</v>
      </c>
      <c r="R422" s="290">
        <f t="shared" ca="1" si="271"/>
        <v>39788.897526384571</v>
      </c>
      <c r="S422" s="290">
        <f t="shared" ca="1" si="271"/>
        <v>43962.509981635689</v>
      </c>
      <c r="T422" s="290">
        <f ca="1">T375</f>
        <v>48919.748306541878</v>
      </c>
      <c r="U422" s="290">
        <f ca="1">U375</f>
        <v>51589.505827996421</v>
      </c>
      <c r="W422" s="407"/>
    </row>
    <row r="423" spans="1:23" x14ac:dyDescent="0.3">
      <c r="B423" s="1" t="s">
        <v>422</v>
      </c>
      <c r="P423" s="290">
        <f>(P386+P394+P418)*-1</f>
        <v>-5357.6053599999996</v>
      </c>
      <c r="Q423" s="290">
        <f t="shared" ref="Q423:T423" ca="1" si="272">(Q386+Q394+Q418)*-1</f>
        <v>-5348.2663599999996</v>
      </c>
      <c r="R423" s="290">
        <f t="shared" ca="1" si="272"/>
        <v>-5338.3026099999997</v>
      </c>
      <c r="S423" s="290">
        <f t="shared" ca="1" si="272"/>
        <v>-5328.4138599999997</v>
      </c>
      <c r="T423" s="290">
        <f t="shared" ca="1" si="272"/>
        <v>-6172.6806099999994</v>
      </c>
      <c r="U423" s="290">
        <f t="shared" ref="U423" si="273">(U386+U394+U418)*-1</f>
        <v>0</v>
      </c>
      <c r="W423" s="407"/>
    </row>
    <row r="424" spans="1:23" x14ac:dyDescent="0.3">
      <c r="B424" s="3" t="s">
        <v>195</v>
      </c>
      <c r="P424" s="297">
        <f t="shared" ref="P424:U424" ca="1" si="274">SUM(P422:P423)</f>
        <v>26769.66693309039</v>
      </c>
      <c r="Q424" s="297">
        <f t="shared" ca="1" si="274"/>
        <v>30552.203870382938</v>
      </c>
      <c r="R424" s="297">
        <f t="shared" ca="1" si="274"/>
        <v>34450.594916384573</v>
      </c>
      <c r="S424" s="297">
        <f t="shared" ca="1" si="274"/>
        <v>38634.096121635688</v>
      </c>
      <c r="T424" s="297">
        <f t="shared" ca="1" si="274"/>
        <v>42747.067696541882</v>
      </c>
      <c r="U424" s="297">
        <f t="shared" ca="1" si="274"/>
        <v>51589.505827996421</v>
      </c>
      <c r="W424" s="407"/>
    </row>
    <row r="425" spans="1:23" x14ac:dyDescent="0.3">
      <c r="W425" s="407"/>
    </row>
    <row r="426" spans="1:23" x14ac:dyDescent="0.3">
      <c r="W426" s="407"/>
    </row>
    <row r="427" spans="1:23" x14ac:dyDescent="0.3">
      <c r="A427" t="s">
        <v>90</v>
      </c>
      <c r="B427" s="369" t="s">
        <v>423</v>
      </c>
      <c r="C427" s="368"/>
      <c r="D427" s="368"/>
      <c r="E427" s="368"/>
      <c r="F427" s="368"/>
      <c r="G427" s="371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W427" s="407"/>
    </row>
    <row r="428" spans="1:23" x14ac:dyDescent="0.3">
      <c r="B428" s="4" t="s">
        <v>8</v>
      </c>
      <c r="G428" s="74">
        <f>G399</f>
        <v>45382</v>
      </c>
      <c r="H428" s="74">
        <f t="shared" ref="H428:U428" si="275">H399</f>
        <v>45473</v>
      </c>
      <c r="I428" s="74">
        <f t="shared" si="275"/>
        <v>45565</v>
      </c>
      <c r="J428" s="74">
        <f t="shared" si="275"/>
        <v>45656</v>
      </c>
      <c r="K428" s="74">
        <f t="shared" si="275"/>
        <v>45746</v>
      </c>
      <c r="L428" s="74">
        <f t="shared" si="275"/>
        <v>45838</v>
      </c>
      <c r="M428" s="74">
        <f t="shared" si="275"/>
        <v>45930</v>
      </c>
      <c r="N428" s="74">
        <f t="shared" si="275"/>
        <v>46021</v>
      </c>
      <c r="O428" s="74">
        <f t="shared" si="275"/>
        <v>46111</v>
      </c>
      <c r="P428" s="74">
        <f t="shared" si="275"/>
        <v>46203</v>
      </c>
      <c r="Q428" s="74">
        <f t="shared" si="275"/>
        <v>46295</v>
      </c>
      <c r="R428" s="74">
        <f t="shared" si="275"/>
        <v>46386</v>
      </c>
      <c r="S428" s="74">
        <f t="shared" si="275"/>
        <v>46476</v>
      </c>
      <c r="T428" s="74">
        <f t="shared" si="275"/>
        <v>46568</v>
      </c>
      <c r="U428" s="345" t="str">
        <f t="shared" si="275"/>
        <v>Term</v>
      </c>
      <c r="W428" s="407"/>
    </row>
    <row r="429" spans="1:23" x14ac:dyDescent="0.3">
      <c r="F429" s="228"/>
      <c r="G429" s="228"/>
      <c r="H429" s="228"/>
      <c r="I429" s="228"/>
      <c r="J429" s="228"/>
      <c r="K429" s="229"/>
      <c r="L429" s="229"/>
      <c r="M429" s="229"/>
      <c r="N429" s="229"/>
      <c r="O429" s="229"/>
      <c r="P429" s="22"/>
      <c r="Q429" s="22"/>
      <c r="R429" s="22"/>
      <c r="S429" s="22"/>
      <c r="T429" s="124"/>
      <c r="W429" s="407"/>
    </row>
    <row r="430" spans="1:23" x14ac:dyDescent="0.3">
      <c r="B430" s="227"/>
      <c r="P430" s="22"/>
      <c r="Q430" s="22"/>
      <c r="R430" s="22"/>
      <c r="S430" s="22"/>
      <c r="T430" s="124"/>
      <c r="W430" s="407"/>
    </row>
    <row r="431" spans="1:23" x14ac:dyDescent="0.3">
      <c r="B431" s="99" t="s">
        <v>424</v>
      </c>
      <c r="C431" s="14"/>
      <c r="D431" s="21"/>
      <c r="E431" s="21"/>
      <c r="F431" s="21"/>
      <c r="G431" s="21"/>
      <c r="H431" s="21"/>
      <c r="I431" s="22"/>
      <c r="J431" s="22"/>
      <c r="K431" s="22"/>
      <c r="L431" s="22"/>
      <c r="M431" s="22"/>
      <c r="P431" s="22"/>
      <c r="Q431" s="22"/>
      <c r="R431" s="22"/>
      <c r="S431" s="22"/>
      <c r="T431" s="124"/>
      <c r="W431" s="407"/>
    </row>
    <row r="432" spans="1:23" x14ac:dyDescent="0.3">
      <c r="B432" s="1" t="s">
        <v>407</v>
      </c>
      <c r="D432" s="21"/>
      <c r="E432" s="21"/>
      <c r="F432" s="21"/>
      <c r="G432" s="21"/>
      <c r="O432" s="290"/>
      <c r="P432" s="279">
        <f>O434</f>
        <v>332990</v>
      </c>
      <c r="Q432" s="279">
        <f>P434</f>
        <v>332990</v>
      </c>
      <c r="R432" s="279">
        <f>Q434</f>
        <v>332990</v>
      </c>
      <c r="S432" s="279">
        <f>R434</f>
        <v>332990</v>
      </c>
      <c r="T432" s="279">
        <f>S434</f>
        <v>332990</v>
      </c>
      <c r="W432" s="407"/>
    </row>
    <row r="433" spans="2:23" x14ac:dyDescent="0.3">
      <c r="B433" s="1" t="s">
        <v>408</v>
      </c>
      <c r="D433" s="21"/>
      <c r="E433" s="21"/>
      <c r="F433" s="21"/>
      <c r="G433" s="21"/>
      <c r="O433" s="291"/>
      <c r="P433" s="292">
        <v>0</v>
      </c>
      <c r="Q433" s="292">
        <v>0</v>
      </c>
      <c r="R433" s="292">
        <v>0</v>
      </c>
      <c r="S433" s="292">
        <v>0</v>
      </c>
      <c r="T433" s="292">
        <v>0</v>
      </c>
      <c r="W433" s="407"/>
    </row>
    <row r="434" spans="2:23" x14ac:dyDescent="0.3">
      <c r="B434" s="1" t="s">
        <v>409</v>
      </c>
      <c r="D434" s="21"/>
      <c r="E434" s="21"/>
      <c r="F434" s="21"/>
      <c r="G434" s="21"/>
      <c r="O434" s="279">
        <v>332990</v>
      </c>
      <c r="P434" s="279">
        <f>SUM(P432:P433)</f>
        <v>332990</v>
      </c>
      <c r="Q434" s="279">
        <f>SUM(Q432:Q433)</f>
        <v>332990</v>
      </c>
      <c r="R434" s="279">
        <f>SUM(R432:R433)</f>
        <v>332990</v>
      </c>
      <c r="S434" s="279">
        <f>SUM(S432:S433)</f>
        <v>332990</v>
      </c>
      <c r="T434" s="279">
        <f>SUM(T432:T433)</f>
        <v>332990</v>
      </c>
      <c r="W434" s="407"/>
    </row>
    <row r="435" spans="2:23" x14ac:dyDescent="0.3">
      <c r="B435" s="1"/>
      <c r="H435" s="280"/>
      <c r="I435" s="280"/>
      <c r="O435" s="280"/>
      <c r="P435" s="280"/>
      <c r="Q435" s="280"/>
      <c r="R435" s="280"/>
      <c r="W435" s="407"/>
    </row>
    <row r="436" spans="2:23" x14ac:dyDescent="0.3">
      <c r="B436" s="1" t="s">
        <v>425</v>
      </c>
      <c r="D436" s="21"/>
      <c r="E436" s="21"/>
      <c r="F436" s="21"/>
      <c r="G436" s="21"/>
      <c r="H436" s="290"/>
      <c r="P436" s="279">
        <f ca="1">P27</f>
        <v>634897.81248674798</v>
      </c>
      <c r="Q436" s="279">
        <f ca="1">Q27</f>
        <v>709539.73687845946</v>
      </c>
      <c r="R436" s="279">
        <f ca="1">R27</f>
        <v>794137.45029454969</v>
      </c>
      <c r="S436" s="279">
        <f ca="1">S27</f>
        <v>890943.90092332719</v>
      </c>
      <c r="T436" s="279">
        <f ca="1">T27</f>
        <v>1001296.8910394849</v>
      </c>
      <c r="W436" s="407"/>
    </row>
    <row r="437" spans="2:23" x14ac:dyDescent="0.3">
      <c r="B437" s="1" t="s">
        <v>426</v>
      </c>
      <c r="D437" s="21"/>
      <c r="E437" s="21"/>
      <c r="F437" s="21"/>
      <c r="G437" s="21"/>
      <c r="H437" s="290"/>
      <c r="P437" s="294">
        <f>Inputs!N27</f>
        <v>0.23</v>
      </c>
      <c r="Q437" s="294">
        <f>P437-0.25%</f>
        <v>0.22750000000000001</v>
      </c>
      <c r="R437" s="294">
        <f t="shared" ref="R437:T437" si="276">Q437-0.25%</f>
        <v>0.22500000000000001</v>
      </c>
      <c r="S437" s="294">
        <f t="shared" si="276"/>
        <v>0.2225</v>
      </c>
      <c r="T437" s="294">
        <f t="shared" si="276"/>
        <v>0.22</v>
      </c>
      <c r="W437" s="414" t="s">
        <v>432</v>
      </c>
    </row>
    <row r="438" spans="2:23" x14ac:dyDescent="0.3">
      <c r="B438" s="85" t="s">
        <v>427</v>
      </c>
      <c r="D438" s="21"/>
      <c r="E438" s="21"/>
      <c r="F438" s="21"/>
      <c r="G438" s="21"/>
      <c r="H438" s="290"/>
      <c r="P438" s="289">
        <f ca="1">MAX(P436*P437,0)</f>
        <v>146026.49687195205</v>
      </c>
      <c r="Q438" s="289">
        <f ca="1">MAX(Q436*Q437,0)</f>
        <v>161420.29013984953</v>
      </c>
      <c r="R438" s="289">
        <f ca="1">MAX(R436*R437,0)</f>
        <v>178680.92631627369</v>
      </c>
      <c r="S438" s="289">
        <f ca="1">MAX(S436*S437,0)</f>
        <v>198235.0179554403</v>
      </c>
      <c r="T438" s="289">
        <f ca="1">MAX(T436*T437,0)</f>
        <v>220285.31602868668</v>
      </c>
      <c r="W438" s="407"/>
    </row>
    <row r="439" spans="2:23" x14ac:dyDescent="0.3">
      <c r="B439" s="85"/>
      <c r="D439" s="21"/>
      <c r="E439" s="21"/>
      <c r="F439" s="21"/>
      <c r="G439" s="21"/>
      <c r="H439" s="290"/>
      <c r="P439" s="289"/>
      <c r="Q439" s="289"/>
      <c r="R439" s="289"/>
      <c r="S439" s="289"/>
      <c r="T439" s="289"/>
      <c r="W439" s="407"/>
    </row>
    <row r="440" spans="2:23" x14ac:dyDescent="0.3">
      <c r="B440" s="149"/>
      <c r="C440" s="14"/>
      <c r="D440" s="21"/>
      <c r="E440" s="21"/>
      <c r="F440" s="21"/>
      <c r="G440" s="21"/>
      <c r="H440" s="132"/>
      <c r="I440" s="132"/>
      <c r="O440" s="132"/>
      <c r="P440" s="132"/>
      <c r="Q440" s="132"/>
      <c r="R440" s="132"/>
      <c r="W440" s="407"/>
    </row>
    <row r="441" spans="2:23" x14ac:dyDescent="0.3">
      <c r="B441" s="150"/>
      <c r="C441" s="151"/>
      <c r="D441" s="125"/>
      <c r="E441" s="125"/>
      <c r="F441" s="125"/>
      <c r="G441" s="125"/>
      <c r="H441" s="153"/>
      <c r="I441" s="153"/>
      <c r="J441" s="68"/>
      <c r="K441" s="68"/>
      <c r="L441" s="68"/>
      <c r="M441" s="68"/>
      <c r="N441" s="68"/>
      <c r="O441" s="153"/>
      <c r="P441" s="153"/>
      <c r="Q441" s="153"/>
      <c r="R441" s="153"/>
      <c r="S441" s="68"/>
      <c r="T441" s="68"/>
      <c r="W441" s="407"/>
    </row>
    <row r="442" spans="2:23" x14ac:dyDescent="0.3">
      <c r="B442" s="99" t="s">
        <v>428</v>
      </c>
      <c r="C442" s="14"/>
      <c r="D442" s="21"/>
      <c r="E442" s="21"/>
      <c r="F442" s="21"/>
      <c r="G442" s="21"/>
      <c r="H442" s="21"/>
      <c r="I442" s="22"/>
      <c r="O442" s="22"/>
      <c r="P442" s="22"/>
      <c r="Q442" s="22"/>
      <c r="R442" s="22"/>
      <c r="W442" s="407"/>
    </row>
    <row r="443" spans="2:23" x14ac:dyDescent="0.3">
      <c r="B443" s="1" t="s">
        <v>407</v>
      </c>
      <c r="D443" s="21"/>
      <c r="E443" s="21"/>
      <c r="F443" s="21"/>
      <c r="G443" s="21"/>
      <c r="O443" s="290"/>
      <c r="P443" s="290">
        <f>O447</f>
        <v>5193142</v>
      </c>
      <c r="Q443" s="290">
        <f ca="1">P447</f>
        <v>5682013.3156147962</v>
      </c>
      <c r="R443" s="290">
        <f ca="1">Q447</f>
        <v>6230132.7623534063</v>
      </c>
      <c r="S443" s="290">
        <f ca="1">R447</f>
        <v>6845589.2863316825</v>
      </c>
      <c r="T443" s="290">
        <f ca="1">S447</f>
        <v>7538298.1692995699</v>
      </c>
      <c r="W443" s="407"/>
    </row>
    <row r="444" spans="2:23" x14ac:dyDescent="0.3">
      <c r="B444" s="1" t="s">
        <v>429</v>
      </c>
      <c r="D444" s="21"/>
      <c r="E444" s="21"/>
      <c r="F444" s="21"/>
      <c r="G444" s="21"/>
      <c r="O444" s="290"/>
      <c r="P444" s="290">
        <f ca="1">P27</f>
        <v>634897.81248674798</v>
      </c>
      <c r="Q444" s="290">
        <f ca="1">Q27</f>
        <v>709539.73687845946</v>
      </c>
      <c r="R444" s="290">
        <f ca="1">R27</f>
        <v>794137.45029454969</v>
      </c>
      <c r="S444" s="290">
        <f ca="1">S27</f>
        <v>890943.90092332719</v>
      </c>
      <c r="T444" s="290">
        <f ca="1">T27</f>
        <v>1001296.8910394849</v>
      </c>
      <c r="W444" s="407"/>
    </row>
    <row r="445" spans="2:23" x14ac:dyDescent="0.3">
      <c r="B445" s="1" t="s">
        <v>419</v>
      </c>
      <c r="D445" s="21"/>
      <c r="E445" s="21"/>
      <c r="F445" s="21"/>
      <c r="G445" s="21"/>
      <c r="O445" s="293"/>
      <c r="P445" s="290">
        <f ca="1">P438*-1</f>
        <v>-146026.49687195205</v>
      </c>
      <c r="Q445" s="290">
        <f ca="1">Q438*-1</f>
        <v>-161420.29013984953</v>
      </c>
      <c r="R445" s="290">
        <f ca="1">R438*-1</f>
        <v>-178680.92631627369</v>
      </c>
      <c r="S445" s="290">
        <f ca="1">S438*-1</f>
        <v>-198235.0179554403</v>
      </c>
      <c r="T445" s="290">
        <f ca="1">T438*-1</f>
        <v>-220285.31602868668</v>
      </c>
      <c r="W445" s="407"/>
    </row>
    <row r="446" spans="2:23" x14ac:dyDescent="0.3">
      <c r="B446" s="1" t="s">
        <v>430</v>
      </c>
      <c r="D446" s="21"/>
      <c r="E446" s="21"/>
      <c r="F446" s="21"/>
      <c r="G446" s="21"/>
      <c r="O446" s="293"/>
      <c r="P446" s="290"/>
      <c r="Q446" s="290"/>
      <c r="R446" s="290"/>
      <c r="S446" s="292"/>
      <c r="T446" s="292"/>
      <c r="W446" s="414" t="s">
        <v>431</v>
      </c>
    </row>
    <row r="447" spans="2:23" x14ac:dyDescent="0.3">
      <c r="B447" s="85" t="s">
        <v>409</v>
      </c>
      <c r="C447" s="3"/>
      <c r="D447" s="21"/>
      <c r="E447" s="21"/>
      <c r="F447" s="21"/>
      <c r="G447" s="21"/>
      <c r="O447" s="298">
        <v>5193142</v>
      </c>
      <c r="P447" s="298">
        <f ca="1">SUM(P443:P446)</f>
        <v>5682013.3156147962</v>
      </c>
      <c r="Q447" s="298">
        <f ca="1">SUM(Q443:Q446)</f>
        <v>6230132.7623534063</v>
      </c>
      <c r="R447" s="298">
        <f ca="1">SUM(R443:R446)</f>
        <v>6845589.2863316825</v>
      </c>
      <c r="S447" s="298">
        <f ca="1">SUM(S443:S446)</f>
        <v>7538298.1692995699</v>
      </c>
      <c r="T447" s="298">
        <f ca="1">SUM(T443:T446)</f>
        <v>8319309.7443103679</v>
      </c>
      <c r="W447" s="407"/>
    </row>
    <row r="448" spans="2:23" x14ac:dyDescent="0.3">
      <c r="B448" s="85"/>
      <c r="C448" s="3"/>
      <c r="D448" s="21"/>
      <c r="E448" s="21"/>
      <c r="F448" s="21"/>
      <c r="G448" s="21"/>
      <c r="O448" s="295"/>
      <c r="P448" s="295"/>
      <c r="Q448" s="295"/>
      <c r="R448" s="295"/>
      <c r="S448" s="295"/>
      <c r="T448" s="295"/>
      <c r="W448" s="407"/>
    </row>
    <row r="449" spans="1:23" x14ac:dyDescent="0.3">
      <c r="B449" s="3" t="s">
        <v>30</v>
      </c>
      <c r="G449" s="6">
        <v>311147</v>
      </c>
      <c r="H449" s="6">
        <v>311147</v>
      </c>
      <c r="I449" s="6">
        <v>311147</v>
      </c>
      <c r="J449" s="6">
        <v>311147</v>
      </c>
      <c r="K449" s="6">
        <v>311147</v>
      </c>
      <c r="L449" s="6">
        <v>311147</v>
      </c>
      <c r="M449" s="6">
        <v>311147</v>
      </c>
      <c r="N449" s="6">
        <v>311147</v>
      </c>
      <c r="O449" s="6">
        <v>311147</v>
      </c>
      <c r="P449" s="7">
        <v>311147</v>
      </c>
      <c r="Q449" s="7">
        <v>311147</v>
      </c>
      <c r="R449" s="7">
        <v>311147</v>
      </c>
      <c r="S449" s="7">
        <v>311147</v>
      </c>
      <c r="T449" s="7">
        <v>311147</v>
      </c>
      <c r="W449" s="414" t="s">
        <v>438</v>
      </c>
    </row>
    <row r="450" spans="1:23" x14ac:dyDescent="0.3">
      <c r="O450" s="290"/>
      <c r="P450" s="290"/>
      <c r="Q450" s="290"/>
      <c r="R450" s="290"/>
      <c r="S450" s="290"/>
      <c r="T450" s="290"/>
      <c r="W450" s="407"/>
    </row>
    <row r="451" spans="1:23" x14ac:dyDescent="0.3">
      <c r="B451" s="3" t="s">
        <v>31</v>
      </c>
      <c r="G451" s="6">
        <v>28021</v>
      </c>
      <c r="H451" s="6"/>
      <c r="I451" s="6"/>
      <c r="J451" s="6"/>
      <c r="K451" s="6"/>
      <c r="L451" s="6"/>
      <c r="M451" s="6">
        <v>181555</v>
      </c>
      <c r="N451" s="6">
        <v>87284</v>
      </c>
      <c r="O451" s="6">
        <v>16199</v>
      </c>
      <c r="P451" s="7">
        <f>MEDIAN(G451:O451)</f>
        <v>57652.5</v>
      </c>
      <c r="Q451" s="7">
        <f t="shared" ref="Q451:T451" si="277">MEDIAN(H451:P451)</f>
        <v>72468.25</v>
      </c>
      <c r="R451" s="7">
        <f t="shared" si="277"/>
        <v>72468.25</v>
      </c>
      <c r="S451" s="7">
        <f t="shared" si="277"/>
        <v>72468.25</v>
      </c>
      <c r="T451" s="7">
        <f t="shared" si="277"/>
        <v>72468.25</v>
      </c>
      <c r="W451" s="414" t="s">
        <v>439</v>
      </c>
    </row>
    <row r="452" spans="1:23" x14ac:dyDescent="0.3">
      <c r="B452" s="87"/>
      <c r="D452" s="21"/>
      <c r="E452" s="21"/>
      <c r="F452" s="21"/>
      <c r="G452" s="21"/>
      <c r="O452" s="290"/>
      <c r="P452" s="290"/>
      <c r="Q452" s="290"/>
      <c r="R452" s="290"/>
      <c r="S452" s="290"/>
      <c r="T452" s="290"/>
      <c r="W452" s="407"/>
    </row>
    <row r="453" spans="1:23" x14ac:dyDescent="0.3">
      <c r="B453" s="1"/>
      <c r="D453" s="21"/>
      <c r="E453" s="21"/>
      <c r="F453" s="21"/>
      <c r="G453" s="21"/>
      <c r="O453" s="290"/>
      <c r="P453" s="290"/>
      <c r="Q453" s="290"/>
      <c r="R453" s="290"/>
      <c r="S453" s="290"/>
      <c r="T453" s="290"/>
      <c r="W453" s="407"/>
    </row>
    <row r="454" spans="1:23" x14ac:dyDescent="0.3">
      <c r="W454" s="407"/>
    </row>
    <row r="455" spans="1:23" x14ac:dyDescent="0.3">
      <c r="A455" t="s">
        <v>90</v>
      </c>
      <c r="B455" s="369" t="s">
        <v>301</v>
      </c>
      <c r="C455" s="368"/>
      <c r="D455" s="368"/>
      <c r="E455" s="368"/>
      <c r="F455" s="368"/>
      <c r="G455" s="371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69"/>
      <c r="W455" s="407"/>
    </row>
    <row r="456" spans="1:23" x14ac:dyDescent="0.3">
      <c r="B456" s="4" t="s">
        <v>8</v>
      </c>
      <c r="G456" s="74">
        <f t="shared" ref="G456:U456" si="278">G324</f>
        <v>45382</v>
      </c>
      <c r="H456" s="74">
        <f t="shared" si="278"/>
        <v>45473</v>
      </c>
      <c r="I456" s="74">
        <f t="shared" si="278"/>
        <v>45565</v>
      </c>
      <c r="J456" s="74">
        <f t="shared" si="278"/>
        <v>45656</v>
      </c>
      <c r="K456" s="74">
        <f t="shared" si="278"/>
        <v>45746</v>
      </c>
      <c r="L456" s="74">
        <f t="shared" si="278"/>
        <v>45838</v>
      </c>
      <c r="M456" s="74">
        <f t="shared" si="278"/>
        <v>45930</v>
      </c>
      <c r="N456" s="74">
        <f t="shared" si="278"/>
        <v>46021</v>
      </c>
      <c r="O456" s="74">
        <f t="shared" si="278"/>
        <v>46111</v>
      </c>
      <c r="P456" s="74">
        <f t="shared" si="278"/>
        <v>46203</v>
      </c>
      <c r="Q456" s="74">
        <f t="shared" si="278"/>
        <v>46295</v>
      </c>
      <c r="R456" s="74">
        <f t="shared" si="278"/>
        <v>46386</v>
      </c>
      <c r="S456" s="74">
        <f t="shared" si="278"/>
        <v>46476</v>
      </c>
      <c r="T456" s="74">
        <f t="shared" si="278"/>
        <v>46568</v>
      </c>
      <c r="U456" s="170" t="str">
        <f t="shared" si="278"/>
        <v>Term</v>
      </c>
      <c r="V456" s="170"/>
      <c r="W456" s="407"/>
    </row>
    <row r="457" spans="1:23" x14ac:dyDescent="0.3">
      <c r="W457" s="407"/>
    </row>
    <row r="458" spans="1:23" x14ac:dyDescent="0.3">
      <c r="W458" s="407"/>
    </row>
    <row r="459" spans="1:23" x14ac:dyDescent="0.3">
      <c r="W459" s="407"/>
    </row>
    <row r="460" spans="1:23" x14ac:dyDescent="0.3">
      <c r="B460" s="3" t="s">
        <v>302</v>
      </c>
      <c r="W460" s="407"/>
    </row>
    <row r="461" spans="1:23" x14ac:dyDescent="0.3">
      <c r="B461" s="1" t="s">
        <v>303</v>
      </c>
      <c r="G461" s="92" t="s">
        <v>115</v>
      </c>
      <c r="H461" s="167">
        <f>U15</f>
        <v>1289699.0339042821</v>
      </c>
      <c r="I461" s="6"/>
      <c r="P461" s="6">
        <f t="shared" ref="P461:U461" si="279">P356</f>
        <v>87243.674482987015</v>
      </c>
      <c r="Q461" s="6">
        <f t="shared" ca="1" si="279"/>
        <v>101575.36442222644</v>
      </c>
      <c r="R461" s="6">
        <f t="shared" ca="1" si="279"/>
        <v>117453.5934053012</v>
      </c>
      <c r="S461" s="6">
        <f t="shared" ca="1" si="279"/>
        <v>135286.10748539274</v>
      </c>
      <c r="T461" s="6">
        <f t="shared" ca="1" si="279"/>
        <v>155397.15576973461</v>
      </c>
      <c r="U461" s="6">
        <f t="shared" ca="1" si="279"/>
        <v>206351.84542468516</v>
      </c>
      <c r="V461" s="6"/>
      <c r="W461" s="407"/>
    </row>
    <row r="462" spans="1:23" x14ac:dyDescent="0.3">
      <c r="B462" s="1" t="s">
        <v>304</v>
      </c>
      <c r="G462" s="11" t="s">
        <v>280</v>
      </c>
      <c r="H462" s="78">
        <f ca="1">U23</f>
        <v>1344082.8876390711</v>
      </c>
      <c r="I462" s="6"/>
      <c r="P462" s="6">
        <f t="shared" ref="P462:U462" ca="1" si="280">P314</f>
        <v>91826.435327439482</v>
      </c>
      <c r="Q462" s="6">
        <f t="shared" ca="1" si="280"/>
        <v>106773.39084490758</v>
      </c>
      <c r="R462" s="6">
        <f t="shared" ca="1" si="280"/>
        <v>123309.84958616112</v>
      </c>
      <c r="S462" s="6">
        <f t="shared" ca="1" si="280"/>
        <v>141851.417664846</v>
      </c>
      <c r="T462" s="6">
        <f t="shared" ca="1" si="280"/>
        <v>162635.56661530148</v>
      </c>
      <c r="U462" s="6">
        <f t="shared" ca="1" si="280"/>
        <v>215053.26202225138</v>
      </c>
      <c r="V462" s="6"/>
      <c r="W462" s="407"/>
    </row>
    <row r="463" spans="1:23" x14ac:dyDescent="0.3">
      <c r="B463" s="1" t="s">
        <v>305</v>
      </c>
      <c r="G463" s="79" t="s">
        <v>277</v>
      </c>
      <c r="H463" s="168">
        <v>0.16</v>
      </c>
      <c r="I463" s="6"/>
      <c r="P463" s="67">
        <f ca="1">P461-P462</f>
        <v>-4582.7608444524667</v>
      </c>
      <c r="Q463" s="67">
        <f t="shared" ref="Q463:U463" ca="1" si="281">Q461-Q462</f>
        <v>-5198.0264226811414</v>
      </c>
      <c r="R463" s="67">
        <f t="shared" ca="1" si="281"/>
        <v>-5856.256180859913</v>
      </c>
      <c r="S463" s="67">
        <f t="shared" ca="1" si="281"/>
        <v>-6565.3101794532558</v>
      </c>
      <c r="T463" s="67">
        <f t="shared" ca="1" si="281"/>
        <v>-7238.4108455668611</v>
      </c>
      <c r="U463" s="67">
        <f t="shared" ca="1" si="281"/>
        <v>-8701.4165975662181</v>
      </c>
      <c r="V463" s="6"/>
      <c r="W463" s="407"/>
    </row>
    <row r="464" spans="1:23" x14ac:dyDescent="0.3">
      <c r="B464" s="1"/>
      <c r="G464" s="6"/>
      <c r="H464" s="169"/>
      <c r="I464" s="6"/>
      <c r="P464" s="6"/>
      <c r="Q464" s="6"/>
      <c r="R464" s="6"/>
      <c r="S464" s="6"/>
      <c r="T464" s="6"/>
      <c r="U464" s="6"/>
      <c r="V464" s="6"/>
      <c r="W464" s="407"/>
    </row>
    <row r="465" spans="2:23" x14ac:dyDescent="0.3">
      <c r="W465" s="407"/>
    </row>
    <row r="466" spans="2:23" x14ac:dyDescent="0.3"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W466" s="407"/>
    </row>
    <row r="467" spans="2:23" x14ac:dyDescent="0.3">
      <c r="W467" s="407"/>
    </row>
    <row r="468" spans="2:23" x14ac:dyDescent="0.3">
      <c r="B468" s="3" t="s">
        <v>308</v>
      </c>
      <c r="W468" s="407"/>
    </row>
    <row r="469" spans="2:23" x14ac:dyDescent="0.3">
      <c r="B469" s="1" t="s">
        <v>115</v>
      </c>
      <c r="G469" s="6"/>
      <c r="H469" s="6"/>
      <c r="I469" s="6"/>
      <c r="P469" s="6">
        <f t="shared" ref="P469:U469" si="282">P15</f>
        <v>727188.47387306264</v>
      </c>
      <c r="Q469" s="6">
        <f t="shared" si="282"/>
        <v>812202.49780878983</v>
      </c>
      <c r="R469" s="6">
        <f t="shared" si="282"/>
        <v>908800.1254107561</v>
      </c>
      <c r="S469" s="6">
        <f t="shared" si="282"/>
        <v>1019614.3124776161</v>
      </c>
      <c r="T469" s="6">
        <f t="shared" si="282"/>
        <v>1146780.0405955461</v>
      </c>
      <c r="U469" s="6">
        <f t="shared" si="282"/>
        <v>1289699.0339042821</v>
      </c>
      <c r="V469" s="6"/>
      <c r="W469" s="407"/>
    </row>
    <row r="470" spans="2:23" x14ac:dyDescent="0.3">
      <c r="B470" s="1" t="s">
        <v>309</v>
      </c>
      <c r="F470" s="6"/>
      <c r="G470" s="6"/>
      <c r="H470" s="6"/>
      <c r="I470" s="6"/>
      <c r="P470" s="6">
        <f t="shared" ref="P470:U470" si="283">P356*-1</f>
        <v>-87243.674482987015</v>
      </c>
      <c r="Q470" s="6">
        <f t="shared" ca="1" si="283"/>
        <v>-101575.36442222644</v>
      </c>
      <c r="R470" s="6">
        <f t="shared" ca="1" si="283"/>
        <v>-117453.5934053012</v>
      </c>
      <c r="S470" s="6">
        <f t="shared" ca="1" si="283"/>
        <v>-135286.10748539274</v>
      </c>
      <c r="T470" s="6">
        <f t="shared" ca="1" si="283"/>
        <v>-155397.15576973461</v>
      </c>
      <c r="U470" s="6">
        <f t="shared" ca="1" si="283"/>
        <v>-206351.84542468516</v>
      </c>
      <c r="V470" s="6"/>
      <c r="W470" s="407"/>
    </row>
    <row r="471" spans="2:23" x14ac:dyDescent="0.3">
      <c r="B471" s="1" t="s">
        <v>310</v>
      </c>
      <c r="G471" s="6"/>
      <c r="H471" s="6"/>
      <c r="I471" s="6"/>
      <c r="P471" s="6">
        <f>P241</f>
        <v>176696.25116140625</v>
      </c>
      <c r="Q471" s="6">
        <f ca="1">Q241</f>
        <v>185192.69573068258</v>
      </c>
      <c r="R471" s="6">
        <f ca="1">R241</f>
        <v>194475.31183272257</v>
      </c>
      <c r="S471" s="6">
        <f ca="1">S241</f>
        <v>204650.0344887492</v>
      </c>
      <c r="T471" s="6">
        <f ca="1">T241</f>
        <v>215836.57334628658</v>
      </c>
      <c r="U471" s="6">
        <f>U212</f>
        <v>601859.54915533168</v>
      </c>
      <c r="V471" s="6"/>
      <c r="W471" s="407"/>
    </row>
    <row r="472" spans="2:23" x14ac:dyDescent="0.3">
      <c r="B472" s="1" t="s">
        <v>306</v>
      </c>
      <c r="G472" s="6"/>
      <c r="H472" s="6"/>
      <c r="I472" s="6"/>
      <c r="P472" s="6">
        <f t="shared" ref="P472:U472" si="284">P212*-1</f>
        <v>-374517.66894750006</v>
      </c>
      <c r="Q472" s="6">
        <f t="shared" si="284"/>
        <v>-407829.33932526462</v>
      </c>
      <c r="R472" s="6">
        <f t="shared" si="284"/>
        <v>-445565.57289791922</v>
      </c>
      <c r="S472" s="6">
        <f t="shared" si="284"/>
        <v>-488386.68748927827</v>
      </c>
      <c r="T472" s="6">
        <f t="shared" si="284"/>
        <v>-536953.86516179435</v>
      </c>
      <c r="U472" s="6">
        <f t="shared" si="284"/>
        <v>-601859.54915533168</v>
      </c>
      <c r="V472" s="6"/>
      <c r="W472" s="407"/>
    </row>
    <row r="473" spans="2:23" x14ac:dyDescent="0.3">
      <c r="B473" s="1" t="s">
        <v>311</v>
      </c>
      <c r="G473" s="6"/>
      <c r="H473" s="6"/>
      <c r="I473" s="6"/>
      <c r="P473" s="6">
        <f t="shared" ref="P473:U473" si="285">P205</f>
        <v>-33750.746126405676</v>
      </c>
      <c r="Q473" s="6">
        <f t="shared" si="285"/>
        <v>-70992.408782255297</v>
      </c>
      <c r="R473" s="6">
        <f t="shared" si="285"/>
        <v>-77642.570399342454</v>
      </c>
      <c r="S473" s="6">
        <f t="shared" si="285"/>
        <v>-81694.027798584721</v>
      </c>
      <c r="T473" s="6">
        <f t="shared" si="285"/>
        <v>-71700.01323430342</v>
      </c>
      <c r="U473" s="6">
        <f t="shared" si="285"/>
        <v>-88526.517998667725</v>
      </c>
      <c r="V473" s="6"/>
      <c r="W473" s="407"/>
    </row>
    <row r="474" spans="2:23" x14ac:dyDescent="0.3">
      <c r="B474" s="85" t="s">
        <v>307</v>
      </c>
      <c r="E474" s="3"/>
      <c r="F474" s="3"/>
      <c r="G474" s="7"/>
      <c r="H474" s="7"/>
      <c r="I474" s="7"/>
      <c r="P474" s="69">
        <f t="shared" ref="P474:U474" si="286">SUM(P469:P473)</f>
        <v>408372.63547757617</v>
      </c>
      <c r="Q474" s="69">
        <f t="shared" ca="1" si="286"/>
        <v>416998.08100972604</v>
      </c>
      <c r="R474" s="69">
        <f t="shared" ca="1" si="286"/>
        <v>462613.70054091571</v>
      </c>
      <c r="S474" s="69">
        <f t="shared" ca="1" si="286"/>
        <v>518897.52419310954</v>
      </c>
      <c r="T474" s="69">
        <f t="shared" ca="1" si="286"/>
        <v>598565.57977600023</v>
      </c>
      <c r="U474" s="69">
        <f t="shared" ca="1" si="286"/>
        <v>994820.67048092932</v>
      </c>
      <c r="V474" s="7"/>
      <c r="W474" s="407"/>
    </row>
    <row r="475" spans="2:23" x14ac:dyDescent="0.3">
      <c r="W475" s="407"/>
    </row>
    <row r="476" spans="2:23" x14ac:dyDescent="0.3">
      <c r="B476" s="3" t="s">
        <v>316</v>
      </c>
      <c r="P476" s="71"/>
      <c r="W476" s="407"/>
    </row>
    <row r="477" spans="2:23" x14ac:dyDescent="0.3">
      <c r="B477" s="1" t="s">
        <v>280</v>
      </c>
      <c r="P477" s="6">
        <f t="shared" ref="P477:U477" ca="1" si="287">P23</f>
        <v>755830.72915089049</v>
      </c>
      <c r="Q477" s="6">
        <f t="shared" ca="1" si="287"/>
        <v>844690.16295054695</v>
      </c>
      <c r="R477" s="6">
        <f t="shared" ca="1" si="287"/>
        <v>945401.72654113057</v>
      </c>
      <c r="S477" s="6">
        <f t="shared" ca="1" si="287"/>
        <v>1060647.5010991991</v>
      </c>
      <c r="T477" s="6">
        <f t="shared" ca="1" si="287"/>
        <v>1192020.1083803391</v>
      </c>
      <c r="U477" s="6">
        <f t="shared" ca="1" si="287"/>
        <v>1344082.8876390711</v>
      </c>
      <c r="V477" s="6"/>
      <c r="W477" s="407"/>
    </row>
    <row r="478" spans="2:23" x14ac:dyDescent="0.3">
      <c r="B478" s="1" t="s">
        <v>317</v>
      </c>
      <c r="P478" s="6">
        <f t="shared" ref="P478:U479" si="288">P18*-1</f>
        <v>-1872.5883447375004</v>
      </c>
      <c r="Q478" s="6">
        <f t="shared" si="288"/>
        <v>-1935.4612713741374</v>
      </c>
      <c r="R478" s="6">
        <f t="shared" si="288"/>
        <v>-2151.0062139899551</v>
      </c>
      <c r="S478" s="6">
        <f t="shared" si="288"/>
        <v>-2399.0924999473318</v>
      </c>
      <c r="T478" s="6">
        <f t="shared" si="288"/>
        <v>-2493.0000882511877</v>
      </c>
      <c r="U478" s="6">
        <f t="shared" si="288"/>
        <v>-2794.347906792611</v>
      </c>
      <c r="V478" s="6"/>
      <c r="W478" s="407"/>
    </row>
    <row r="479" spans="2:23" x14ac:dyDescent="0.3">
      <c r="B479" s="1" t="s">
        <v>315</v>
      </c>
      <c r="P479" s="6">
        <f t="shared" ca="1" si="288"/>
        <v>-26769.66693309039</v>
      </c>
      <c r="Q479" s="6">
        <f t="shared" ca="1" si="288"/>
        <v>-30552.203870382938</v>
      </c>
      <c r="R479" s="6">
        <f t="shared" ca="1" si="288"/>
        <v>-34450.594916384573</v>
      </c>
      <c r="S479" s="6">
        <f t="shared" ca="1" si="288"/>
        <v>-38634.096121635688</v>
      </c>
      <c r="T479" s="6">
        <f t="shared" ca="1" si="288"/>
        <v>-42747.067696541882</v>
      </c>
      <c r="U479" s="6">
        <f t="shared" ca="1" si="288"/>
        <v>-51589.505827996421</v>
      </c>
      <c r="V479" s="6"/>
      <c r="W479" s="407"/>
    </row>
    <row r="480" spans="2:23" x14ac:dyDescent="0.3">
      <c r="B480" s="1" t="s">
        <v>314</v>
      </c>
      <c r="P480" s="6">
        <f ca="1">P463*-1</f>
        <v>4582.7608444524667</v>
      </c>
      <c r="Q480" s="6">
        <f t="shared" ref="Q480:U480" ca="1" si="289">Q463*-1</f>
        <v>5198.0264226811414</v>
      </c>
      <c r="R480" s="6">
        <f t="shared" ca="1" si="289"/>
        <v>5856.256180859913</v>
      </c>
      <c r="S480" s="6">
        <f t="shared" ca="1" si="289"/>
        <v>6565.3101794532558</v>
      </c>
      <c r="T480" s="6">
        <f t="shared" ca="1" si="289"/>
        <v>7238.4108455668611</v>
      </c>
      <c r="U480" s="6">
        <f t="shared" ca="1" si="289"/>
        <v>8701.4165975662181</v>
      </c>
      <c r="V480" s="6"/>
      <c r="W480" s="407"/>
    </row>
    <row r="481" spans="1:26" x14ac:dyDescent="0.3">
      <c r="B481" s="1" t="s">
        <v>309</v>
      </c>
      <c r="O481" s="71"/>
      <c r="P481" s="6">
        <f t="shared" ref="P481:U481" ca="1" si="290">P314*-1</f>
        <v>-91826.435327439482</v>
      </c>
      <c r="Q481" s="6">
        <f t="shared" ca="1" si="290"/>
        <v>-106773.39084490758</v>
      </c>
      <c r="R481" s="6">
        <f t="shared" ca="1" si="290"/>
        <v>-123309.84958616112</v>
      </c>
      <c r="S481" s="6">
        <f t="shared" ca="1" si="290"/>
        <v>-141851.417664846</v>
      </c>
      <c r="T481" s="6">
        <f t="shared" ca="1" si="290"/>
        <v>-162635.56661530148</v>
      </c>
      <c r="U481" s="6">
        <f t="shared" ca="1" si="290"/>
        <v>-215053.26202225138</v>
      </c>
      <c r="V481" s="6"/>
      <c r="W481" s="407"/>
    </row>
    <row r="482" spans="1:26" x14ac:dyDescent="0.3">
      <c r="B482" s="1" t="s">
        <v>310</v>
      </c>
      <c r="P482" s="6">
        <f>P471</f>
        <v>176696.25116140625</v>
      </c>
      <c r="Q482" s="6">
        <f t="shared" ref="Q482:U482" ca="1" si="291">Q471</f>
        <v>185192.69573068258</v>
      </c>
      <c r="R482" s="6">
        <f t="shared" ca="1" si="291"/>
        <v>194475.31183272257</v>
      </c>
      <c r="S482" s="6">
        <f t="shared" ca="1" si="291"/>
        <v>204650.0344887492</v>
      </c>
      <c r="T482" s="6">
        <f t="shared" ca="1" si="291"/>
        <v>215836.57334628658</v>
      </c>
      <c r="U482" s="6">
        <f t="shared" si="291"/>
        <v>601859.54915533168</v>
      </c>
      <c r="V482" s="6"/>
      <c r="W482" s="407"/>
    </row>
    <row r="483" spans="1:26" x14ac:dyDescent="0.3">
      <c r="B483" s="1" t="s">
        <v>306</v>
      </c>
      <c r="P483" s="6">
        <f>P472</f>
        <v>-374517.66894750006</v>
      </c>
      <c r="Q483" s="6">
        <f t="shared" ref="Q483:U483" si="292">Q472</f>
        <v>-407829.33932526462</v>
      </c>
      <c r="R483" s="6">
        <f t="shared" si="292"/>
        <v>-445565.57289791922</v>
      </c>
      <c r="S483" s="6">
        <f t="shared" si="292"/>
        <v>-488386.68748927827</v>
      </c>
      <c r="T483" s="6">
        <f t="shared" si="292"/>
        <v>-536953.86516179435</v>
      </c>
      <c r="U483" s="6">
        <f t="shared" si="292"/>
        <v>-601859.54915533168</v>
      </c>
      <c r="V483" s="6"/>
      <c r="W483" s="407"/>
    </row>
    <row r="484" spans="1:26" x14ac:dyDescent="0.3">
      <c r="B484" s="1" t="s">
        <v>311</v>
      </c>
      <c r="P484" s="6">
        <f>P473</f>
        <v>-33750.746126405676</v>
      </c>
      <c r="Q484" s="6">
        <f t="shared" ref="Q484:U484" si="293">Q473</f>
        <v>-70992.408782255297</v>
      </c>
      <c r="R484" s="6">
        <f t="shared" si="293"/>
        <v>-77642.570399342454</v>
      </c>
      <c r="S484" s="6">
        <f t="shared" si="293"/>
        <v>-81694.027798584721</v>
      </c>
      <c r="T484" s="6">
        <f t="shared" si="293"/>
        <v>-71700.01323430342</v>
      </c>
      <c r="U484" s="6">
        <f t="shared" si="293"/>
        <v>-88526.517998667725</v>
      </c>
      <c r="V484" s="6"/>
      <c r="W484" s="407"/>
    </row>
    <row r="485" spans="1:26" x14ac:dyDescent="0.3">
      <c r="B485" s="87" t="s">
        <v>307</v>
      </c>
      <c r="P485" s="69">
        <f ca="1">SUM(P477:P484)</f>
        <v>408372.63547757606</v>
      </c>
      <c r="Q485" s="69">
        <f t="shared" ref="Q485:U485" ca="1" si="294">SUM(Q477:Q484)</f>
        <v>416998.08100972604</v>
      </c>
      <c r="R485" s="69">
        <f t="shared" ca="1" si="294"/>
        <v>462613.70054091571</v>
      </c>
      <c r="S485" s="69">
        <f t="shared" ca="1" si="294"/>
        <v>518897.52419310954</v>
      </c>
      <c r="T485" s="69">
        <f t="shared" ca="1" si="294"/>
        <v>598565.57977600023</v>
      </c>
      <c r="U485" s="69">
        <f t="shared" ca="1" si="294"/>
        <v>994820.67048092955</v>
      </c>
      <c r="V485" s="7"/>
      <c r="W485" s="407"/>
    </row>
    <row r="486" spans="1:26" x14ac:dyDescent="0.3">
      <c r="W486" s="407"/>
    </row>
    <row r="487" spans="1:26" x14ac:dyDescent="0.3">
      <c r="W487" s="407"/>
    </row>
    <row r="488" spans="1:26" x14ac:dyDescent="0.3">
      <c r="A488" t="s">
        <v>90</v>
      </c>
      <c r="B488" s="369" t="s">
        <v>318</v>
      </c>
      <c r="C488" s="368"/>
      <c r="D488" s="368"/>
      <c r="E488" s="368"/>
      <c r="F488" s="368"/>
      <c r="G488" s="371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69"/>
      <c r="W488" s="407"/>
    </row>
    <row r="489" spans="1:26" x14ac:dyDescent="0.3">
      <c r="B489" s="4" t="s">
        <v>8</v>
      </c>
      <c r="G489" s="74">
        <f>G456</f>
        <v>45382</v>
      </c>
      <c r="H489" s="74">
        <f t="shared" ref="H489:U489" si="295">H456</f>
        <v>45473</v>
      </c>
      <c r="I489" s="74">
        <f t="shared" si="295"/>
        <v>45565</v>
      </c>
      <c r="J489" s="74">
        <f t="shared" si="295"/>
        <v>45656</v>
      </c>
      <c r="K489" s="74">
        <f t="shared" si="295"/>
        <v>45746</v>
      </c>
      <c r="L489" s="74">
        <f t="shared" si="295"/>
        <v>45838</v>
      </c>
      <c r="M489" s="74">
        <f t="shared" si="295"/>
        <v>45930</v>
      </c>
      <c r="N489" s="74">
        <f t="shared" si="295"/>
        <v>46021</v>
      </c>
      <c r="O489" s="74">
        <f t="shared" si="295"/>
        <v>46111</v>
      </c>
      <c r="P489" s="74">
        <f t="shared" si="295"/>
        <v>46203</v>
      </c>
      <c r="Q489" s="74">
        <f t="shared" si="295"/>
        <v>46295</v>
      </c>
      <c r="R489" s="74">
        <f t="shared" si="295"/>
        <v>46386</v>
      </c>
      <c r="S489" s="74">
        <f t="shared" si="295"/>
        <v>46476</v>
      </c>
      <c r="T489" s="74">
        <f t="shared" si="295"/>
        <v>46568</v>
      </c>
      <c r="U489" s="170" t="str">
        <f t="shared" si="295"/>
        <v>Term</v>
      </c>
      <c r="V489" s="170"/>
      <c r="W489" s="407"/>
    </row>
    <row r="490" spans="1:26" x14ac:dyDescent="0.3">
      <c r="P490" s="6"/>
      <c r="Q490" s="6"/>
      <c r="R490" s="6"/>
      <c r="S490" s="6"/>
      <c r="T490" s="6"/>
      <c r="U490" s="6"/>
      <c r="V490" s="6"/>
      <c r="W490" s="407"/>
    </row>
    <row r="491" spans="1:26" x14ac:dyDescent="0.3">
      <c r="N491" s="1"/>
      <c r="P491" s="6"/>
      <c r="Q491" s="6"/>
      <c r="R491" s="6"/>
      <c r="S491" s="6"/>
      <c r="T491" s="6"/>
      <c r="U491" s="6"/>
      <c r="V491" s="6"/>
      <c r="W491" s="407"/>
    </row>
    <row r="492" spans="1:26" ht="14.6" customHeight="1" x14ac:dyDescent="0.3">
      <c r="B492" s="20"/>
      <c r="E492" s="15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407"/>
    </row>
    <row r="493" spans="1:26" ht="14.6" customHeight="1" x14ac:dyDescent="0.3">
      <c r="B493" s="172" t="s">
        <v>319</v>
      </c>
      <c r="C493" s="165"/>
      <c r="D493" s="231">
        <f>((1+Inputs!N84)^(1/4))-1</f>
        <v>6.192246325636086E-3</v>
      </c>
      <c r="E493" s="21"/>
      <c r="M493" s="16"/>
      <c r="N493" s="16"/>
      <c r="O493" s="173" t="s">
        <v>320</v>
      </c>
      <c r="P493" s="174" t="s">
        <v>321</v>
      </c>
      <c r="Q493" s="175"/>
      <c r="R493" s="175"/>
      <c r="S493" s="175"/>
      <c r="T493" s="175"/>
      <c r="U493" s="176" t="s">
        <v>313</v>
      </c>
      <c r="V493" s="277"/>
      <c r="W493" s="407"/>
    </row>
    <row r="494" spans="1:26" ht="14.6" customHeight="1" x14ac:dyDescent="0.3">
      <c r="B494" s="177" t="s">
        <v>322</v>
      </c>
      <c r="C494" s="166"/>
      <c r="D494" s="232">
        <f>((1+Inputs!N83)^(1/4))-1</f>
        <v>2.1231268905577805E-2</v>
      </c>
      <c r="E494" s="21"/>
      <c r="M494" s="17"/>
      <c r="N494" s="17"/>
      <c r="O494" s="178" t="s">
        <v>323</v>
      </c>
      <c r="P494" s="178" t="s">
        <v>323</v>
      </c>
      <c r="Q494" s="179" t="s">
        <v>323</v>
      </c>
      <c r="R494" s="179" t="s">
        <v>323</v>
      </c>
      <c r="S494" s="179" t="s">
        <v>323</v>
      </c>
      <c r="T494" s="179" t="s">
        <v>323</v>
      </c>
      <c r="U494" s="180" t="s">
        <v>323</v>
      </c>
      <c r="V494" s="278"/>
      <c r="W494" s="407"/>
      <c r="Y494" s="234"/>
    </row>
    <row r="495" spans="1:26" ht="14.6" customHeight="1" x14ac:dyDescent="0.3">
      <c r="D495" s="17"/>
      <c r="E495" s="21"/>
      <c r="M495" s="181" t="s">
        <v>395</v>
      </c>
      <c r="N495" s="17"/>
      <c r="O495" s="182">
        <v>46143</v>
      </c>
      <c r="P495" s="182">
        <f>Inputs!F36</f>
        <v>46203</v>
      </c>
      <c r="Q495" s="183">
        <f>EDATE(P495,3)</f>
        <v>46295</v>
      </c>
      <c r="R495" s="183">
        <v>46387</v>
      </c>
      <c r="S495" s="183">
        <f t="shared" ref="S495:U495" si="296">EDATE(R495,3)</f>
        <v>46477</v>
      </c>
      <c r="T495" s="183">
        <f t="shared" si="296"/>
        <v>46568</v>
      </c>
      <c r="U495" s="184">
        <f t="shared" si="296"/>
        <v>46660</v>
      </c>
      <c r="V495" s="183"/>
      <c r="W495" s="407"/>
      <c r="Y495" s="234"/>
      <c r="Z495" s="233"/>
    </row>
    <row r="496" spans="1:26" ht="14.6" customHeight="1" thickBot="1" x14ac:dyDescent="0.35">
      <c r="D496" s="15"/>
      <c r="E496" s="15"/>
      <c r="M496" s="181" t="s">
        <v>324</v>
      </c>
      <c r="N496" s="17"/>
      <c r="O496" s="182">
        <f>O495</f>
        <v>46143</v>
      </c>
      <c r="P496" s="182">
        <v>46188</v>
      </c>
      <c r="Q496" s="183">
        <f>EDATE(P496,3)</f>
        <v>46280</v>
      </c>
      <c r="R496" s="183">
        <f>EDATE(Q496,3)</f>
        <v>46371</v>
      </c>
      <c r="S496" s="183">
        <f>EDATE(R496,3)</f>
        <v>46461</v>
      </c>
      <c r="T496" s="183">
        <f>EDATE(S496,3)</f>
        <v>46553</v>
      </c>
      <c r="U496" s="185">
        <f t="shared" ref="U496" si="297">EDATE(T496,4)</f>
        <v>46675</v>
      </c>
      <c r="V496" s="183"/>
      <c r="W496" s="407"/>
      <c r="Y496" s="234"/>
    </row>
    <row r="497" spans="2:25" ht="14.6" customHeight="1" x14ac:dyDescent="0.3">
      <c r="B497" s="13"/>
      <c r="C497" s="14"/>
      <c r="D497" s="15"/>
      <c r="E497" s="15"/>
      <c r="M497" s="16"/>
      <c r="N497" s="16"/>
      <c r="O497" s="186"/>
      <c r="P497" s="186"/>
      <c r="Q497" s="186"/>
      <c r="R497" s="186"/>
      <c r="S497" s="186"/>
      <c r="T497" s="186"/>
      <c r="U497" s="186"/>
      <c r="V497" s="16"/>
      <c r="W497" s="407"/>
      <c r="Y497" s="233"/>
    </row>
    <row r="498" spans="2:25" ht="14.6" customHeight="1" x14ac:dyDescent="0.3">
      <c r="B498" s="187" t="s">
        <v>307</v>
      </c>
      <c r="C498" s="17"/>
      <c r="D498" s="21"/>
      <c r="E498" s="21"/>
      <c r="M498" s="32"/>
      <c r="N498" s="32"/>
      <c r="O498" s="188">
        <v>0</v>
      </c>
      <c r="P498" s="189">
        <f>P474</f>
        <v>408372.63547757617</v>
      </c>
      <c r="Q498" s="189">
        <f t="shared" ref="Q498:U498" ca="1" si="298">Q474</f>
        <v>416998.08100972604</v>
      </c>
      <c r="R498" s="189">
        <f t="shared" ca="1" si="298"/>
        <v>462613.70054091571</v>
      </c>
      <c r="S498" s="189">
        <f t="shared" ca="1" si="298"/>
        <v>518897.52419310954</v>
      </c>
      <c r="T498" s="189">
        <f t="shared" ca="1" si="298"/>
        <v>598565.57977600023</v>
      </c>
      <c r="U498" s="190">
        <f t="shared" ca="1" si="298"/>
        <v>994820.67048092932</v>
      </c>
      <c r="V498" s="279"/>
      <c r="W498" s="407"/>
    </row>
    <row r="499" spans="2:25" ht="14.6" customHeight="1" x14ac:dyDescent="0.3">
      <c r="B499" s="17"/>
      <c r="C499" s="17"/>
      <c r="D499" s="17"/>
      <c r="E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407"/>
    </row>
    <row r="500" spans="2:25" ht="14.6" customHeight="1" x14ac:dyDescent="0.35">
      <c r="B500" s="20"/>
      <c r="C500" s="17"/>
      <c r="D500" s="23"/>
      <c r="E500" s="21"/>
      <c r="M500" s="23"/>
      <c r="N500" s="21"/>
      <c r="O500" s="21"/>
      <c r="P500" s="22"/>
      <c r="Q500" s="22"/>
      <c r="R500" s="22"/>
      <c r="S500" s="22"/>
      <c r="T500" s="22"/>
      <c r="U500" s="17"/>
      <c r="V500" s="17"/>
      <c r="W500" s="407"/>
    </row>
    <row r="501" spans="2:25" ht="14.6" customHeight="1" x14ac:dyDescent="0.35">
      <c r="B501" s="99" t="s">
        <v>325</v>
      </c>
      <c r="C501" s="17"/>
      <c r="D501" s="23"/>
      <c r="E501" s="21"/>
      <c r="M501" s="23"/>
      <c r="N501" s="21"/>
      <c r="O501" s="21"/>
      <c r="P501" s="22"/>
      <c r="Q501" s="22"/>
      <c r="R501" s="22"/>
      <c r="S501" s="22"/>
      <c r="T501" s="22"/>
      <c r="U501" s="17"/>
      <c r="V501" s="17"/>
      <c r="W501" s="407"/>
    </row>
    <row r="502" spans="2:25" ht="14.6" customHeight="1" x14ac:dyDescent="0.35">
      <c r="B502" s="191" t="s">
        <v>321</v>
      </c>
      <c r="C502" s="17"/>
      <c r="D502" s="192"/>
      <c r="E502" s="21"/>
      <c r="M502" s="23"/>
      <c r="N502" s="32"/>
      <c r="O502" s="193">
        <v>0</v>
      </c>
      <c r="P502" s="194">
        <f>P498</f>
        <v>408372.63547757617</v>
      </c>
      <c r="Q502" s="194">
        <f ca="1">Q498</f>
        <v>416998.08100972604</v>
      </c>
      <c r="R502" s="194">
        <f ca="1">R498</f>
        <v>462613.70054091571</v>
      </c>
      <c r="S502" s="194">
        <f ca="1">S498</f>
        <v>518897.52419310954</v>
      </c>
      <c r="T502" s="194">
        <f ca="1">T498</f>
        <v>598565.57977600023</v>
      </c>
      <c r="U502" s="195"/>
      <c r="V502" s="195"/>
      <c r="W502" s="407"/>
    </row>
    <row r="503" spans="2:25" ht="14.6" customHeight="1" x14ac:dyDescent="0.35">
      <c r="B503" s="191" t="s">
        <v>326</v>
      </c>
      <c r="C503" s="17"/>
      <c r="D503" s="21"/>
      <c r="E503" s="21"/>
      <c r="M503" s="23"/>
      <c r="N503" s="32"/>
      <c r="O503" s="196">
        <v>0</v>
      </c>
      <c r="P503" s="197">
        <v>0</v>
      </c>
      <c r="Q503" s="197">
        <v>0</v>
      </c>
      <c r="R503" s="197">
        <v>0</v>
      </c>
      <c r="S503" s="197">
        <v>0</v>
      </c>
      <c r="T503" s="198">
        <f ca="1">U498/(D494-D493)</f>
        <v>66149290.300805211</v>
      </c>
      <c r="U503" s="195"/>
      <c r="V503" s="195"/>
      <c r="W503" s="407"/>
    </row>
    <row r="504" spans="2:25" ht="14.6" customHeight="1" x14ac:dyDescent="0.3">
      <c r="B504" s="191" t="s">
        <v>327</v>
      </c>
      <c r="C504" s="17"/>
      <c r="D504" s="199"/>
      <c r="E504" s="199"/>
      <c r="M504" s="32"/>
      <c r="N504" s="32"/>
      <c r="O504" s="115">
        <f t="shared" ref="O504:T504" si="299">SUM(O502:O503)</f>
        <v>0</v>
      </c>
      <c r="P504" s="194">
        <f t="shared" si="299"/>
        <v>408372.63547757617</v>
      </c>
      <c r="Q504" s="194">
        <f t="shared" ca="1" si="299"/>
        <v>416998.08100972604</v>
      </c>
      <c r="R504" s="194">
        <f t="shared" ca="1" si="299"/>
        <v>462613.70054091571</v>
      </c>
      <c r="S504" s="194">
        <f t="shared" ca="1" si="299"/>
        <v>518897.52419310954</v>
      </c>
      <c r="T504" s="194">
        <f t="shared" ca="1" si="299"/>
        <v>66747855.880581215</v>
      </c>
      <c r="U504" s="32"/>
      <c r="V504" s="32"/>
      <c r="W504" s="407"/>
    </row>
    <row r="505" spans="2:25" ht="14.6" customHeight="1" x14ac:dyDescent="0.35">
      <c r="B505" s="99"/>
      <c r="C505" s="17"/>
      <c r="D505" s="21"/>
      <c r="E505" s="21"/>
      <c r="M505" s="200"/>
      <c r="N505" s="200"/>
      <c r="O505" s="200"/>
      <c r="P505" s="201"/>
      <c r="Q505" s="201"/>
      <c r="R505" s="201"/>
      <c r="S505" s="201"/>
      <c r="T505" s="202"/>
      <c r="U505" s="23"/>
      <c r="V505" s="23"/>
      <c r="W505" s="407"/>
    </row>
    <row r="506" spans="2:25" ht="14.6" customHeight="1" x14ac:dyDescent="0.35">
      <c r="B506" s="99" t="s">
        <v>328</v>
      </c>
      <c r="C506" s="17"/>
      <c r="D506" s="21"/>
      <c r="E506" s="21"/>
      <c r="M506" s="23"/>
      <c r="N506" s="21"/>
      <c r="O506" s="21"/>
      <c r="P506" s="203"/>
      <c r="Q506" s="203"/>
      <c r="R506" s="203"/>
      <c r="S506" s="203"/>
      <c r="T506" s="203"/>
      <c r="U506" s="32"/>
      <c r="V506" s="32"/>
      <c r="W506" s="407"/>
    </row>
    <row r="507" spans="2:25" ht="14.6" customHeight="1" x14ac:dyDescent="0.3">
      <c r="B507" s="149" t="s">
        <v>329</v>
      </c>
      <c r="C507" s="17"/>
      <c r="D507" s="21"/>
      <c r="E507" s="21"/>
      <c r="M507" s="200"/>
      <c r="N507" s="200"/>
      <c r="O507" s="193">
        <v>0</v>
      </c>
      <c r="P507" s="204">
        <f>YEARFRAC(O495,P495)*4</f>
        <v>0.65555555555555556</v>
      </c>
      <c r="Q507" s="204">
        <f>YEARFRAC(P495,Q495)*4</f>
        <v>1</v>
      </c>
      <c r="R507" s="204">
        <f>YEARFRAC(Q495,R495)*4</f>
        <v>1</v>
      </c>
      <c r="S507" s="204">
        <f>YEARFRAC(R495,S495)*4</f>
        <v>1</v>
      </c>
      <c r="T507" s="204">
        <f>YEARFRAC(S495,T495)*4</f>
        <v>1</v>
      </c>
      <c r="U507" s="32"/>
      <c r="V507" s="32"/>
      <c r="W507" s="407"/>
    </row>
    <row r="508" spans="2:25" ht="14.6" customHeight="1" x14ac:dyDescent="0.3">
      <c r="B508" s="149"/>
      <c r="C508" s="17"/>
      <c r="D508" s="21"/>
      <c r="E508" s="21"/>
      <c r="M508" s="200"/>
      <c r="N508" s="200"/>
      <c r="O508" s="193"/>
      <c r="P508" s="204"/>
      <c r="Q508" s="204"/>
      <c r="R508" s="204"/>
      <c r="S508" s="204"/>
      <c r="T508" s="204"/>
      <c r="U508" s="32"/>
      <c r="V508" s="32"/>
      <c r="W508" s="407"/>
    </row>
    <row r="509" spans="2:25" ht="14.6" customHeight="1" x14ac:dyDescent="0.35">
      <c r="B509" s="191" t="s">
        <v>321</v>
      </c>
      <c r="C509" s="17"/>
      <c r="D509" s="192"/>
      <c r="E509" s="21"/>
      <c r="M509" s="23"/>
      <c r="N509" s="32"/>
      <c r="O509" s="193">
        <v>0</v>
      </c>
      <c r="P509" s="194">
        <f>P507*P502</f>
        <v>267710.94992418884</v>
      </c>
      <c r="Q509" s="194">
        <f ca="1">Q507*Q502</f>
        <v>416998.08100972604</v>
      </c>
      <c r="R509" s="194">
        <f ca="1">R507*R502</f>
        <v>462613.70054091571</v>
      </c>
      <c r="S509" s="194">
        <f ca="1">S507*S502</f>
        <v>518897.52419310954</v>
      </c>
      <c r="T509" s="194">
        <f ca="1">T507*T502</f>
        <v>598565.57977600023</v>
      </c>
      <c r="U509" s="32"/>
      <c r="V509" s="32"/>
      <c r="W509" s="407"/>
    </row>
    <row r="510" spans="2:25" ht="14.6" customHeight="1" x14ac:dyDescent="0.35">
      <c r="B510" s="191" t="s">
        <v>326</v>
      </c>
      <c r="C510" s="17"/>
      <c r="D510" s="21"/>
      <c r="E510" s="21"/>
      <c r="M510" s="23"/>
      <c r="N510" s="32"/>
      <c r="O510" s="196">
        <v>0</v>
      </c>
      <c r="P510" s="198">
        <f>P507*P503</f>
        <v>0</v>
      </c>
      <c r="Q510" s="198">
        <f t="shared" ref="Q510:T510" si="300">Q507*Q503</f>
        <v>0</v>
      </c>
      <c r="R510" s="198">
        <f t="shared" si="300"/>
        <v>0</v>
      </c>
      <c r="S510" s="198">
        <f t="shared" si="300"/>
        <v>0</v>
      </c>
      <c r="T510" s="198">
        <f t="shared" ca="1" si="300"/>
        <v>66149290.300805211</v>
      </c>
      <c r="U510" s="32"/>
      <c r="V510" s="32"/>
      <c r="W510" s="407"/>
    </row>
    <row r="511" spans="2:25" ht="14.6" customHeight="1" x14ac:dyDescent="0.3">
      <c r="B511" s="191" t="s">
        <v>327</v>
      </c>
      <c r="C511" s="17"/>
      <c r="D511" s="199"/>
      <c r="E511" s="199"/>
      <c r="F511" s="121"/>
      <c r="G511" s="256"/>
      <c r="H511" s="256"/>
      <c r="I511" s="256"/>
      <c r="J511" s="256"/>
      <c r="K511" s="256"/>
      <c r="M511" s="32"/>
      <c r="N511" s="32"/>
      <c r="O511" s="115">
        <f t="shared" ref="O511:T511" si="301">SUM(O509:O510)</f>
        <v>0</v>
      </c>
      <c r="P511" s="194">
        <f t="shared" si="301"/>
        <v>267710.94992418884</v>
      </c>
      <c r="Q511" s="194">
        <f t="shared" ca="1" si="301"/>
        <v>416998.08100972604</v>
      </c>
      <c r="R511" s="194">
        <f t="shared" ca="1" si="301"/>
        <v>462613.70054091571</v>
      </c>
      <c r="S511" s="194">
        <f t="shared" ca="1" si="301"/>
        <v>518897.52419310954</v>
      </c>
      <c r="T511" s="194">
        <f t="shared" ca="1" si="301"/>
        <v>66747855.880581215</v>
      </c>
      <c r="U511" s="32"/>
      <c r="V511" s="32"/>
      <c r="W511" s="407"/>
    </row>
    <row r="512" spans="2:25" ht="14.6" customHeight="1" x14ac:dyDescent="0.3">
      <c r="B512" s="149"/>
      <c r="C512" s="17"/>
      <c r="D512" s="21"/>
      <c r="E512" s="21"/>
      <c r="F512" s="256"/>
      <c r="M512" s="200"/>
      <c r="N512" s="200"/>
      <c r="O512" s="193"/>
      <c r="P512" s="204"/>
      <c r="Q512" s="204"/>
      <c r="R512" s="204"/>
      <c r="S512" s="204"/>
      <c r="T512" s="204"/>
      <c r="U512" s="32"/>
      <c r="V512" s="32"/>
      <c r="W512" s="407"/>
    </row>
    <row r="513" spans="2:26" ht="14.6" customHeight="1" x14ac:dyDescent="0.35">
      <c r="B513" s="99" t="s">
        <v>330</v>
      </c>
      <c r="C513" s="17"/>
      <c r="D513" s="21"/>
      <c r="E513" s="21"/>
      <c r="F513" s="256"/>
      <c r="M513" s="23"/>
      <c r="N513" s="21"/>
      <c r="O513" s="21"/>
      <c r="P513" s="203"/>
      <c r="Q513" s="203"/>
      <c r="R513" s="203"/>
      <c r="S513" s="203"/>
      <c r="T513" s="203"/>
      <c r="U513" s="32"/>
      <c r="V513" s="32"/>
      <c r="W513" s="407"/>
    </row>
    <row r="514" spans="2:26" ht="14.6" customHeight="1" x14ac:dyDescent="0.35">
      <c r="B514" s="149" t="s">
        <v>331</v>
      </c>
      <c r="C514" s="23"/>
      <c r="D514" s="21"/>
      <c r="E514" s="21"/>
      <c r="F514" s="256"/>
      <c r="M514" s="32"/>
      <c r="N514" s="32"/>
      <c r="O514" s="205">
        <v>0</v>
      </c>
      <c r="P514" s="206">
        <f>O514+YEARFRAC(O496,P496)</f>
        <v>0.12222222222222222</v>
      </c>
      <c r="Q514" s="206">
        <f>P514+YEARFRAC(P496,Q496)</f>
        <v>0.37222222222222223</v>
      </c>
      <c r="R514" s="206">
        <f>Q514+YEARFRAC(Q496,R496)</f>
        <v>0.62222222222222223</v>
      </c>
      <c r="S514" s="206">
        <f>R514+YEARFRAC(R496,S496)</f>
        <v>0.87222222222222223</v>
      </c>
      <c r="T514" s="206">
        <f>S514+YEARFRAC(S496,T496)</f>
        <v>1.1222222222222222</v>
      </c>
      <c r="U514" s="32"/>
      <c r="V514" s="32"/>
      <c r="W514" s="407"/>
    </row>
    <row r="515" spans="2:26" ht="14.6" customHeight="1" x14ac:dyDescent="0.35">
      <c r="B515" s="149"/>
      <c r="C515" s="23"/>
      <c r="D515" s="21"/>
      <c r="E515" s="21"/>
      <c r="F515" s="256"/>
      <c r="M515" s="32"/>
      <c r="N515" s="32"/>
      <c r="O515" s="205"/>
      <c r="P515" s="206"/>
      <c r="Q515" s="206"/>
      <c r="R515" s="206"/>
      <c r="S515" s="206"/>
      <c r="T515" s="206"/>
      <c r="U515" s="32"/>
      <c r="V515" s="32"/>
      <c r="W515" s="407"/>
    </row>
    <row r="516" spans="2:26" ht="14.6" customHeight="1" x14ac:dyDescent="0.35">
      <c r="B516" s="191" t="s">
        <v>321</v>
      </c>
      <c r="C516" s="17"/>
      <c r="D516" s="192"/>
      <c r="E516" s="21"/>
      <c r="F516" s="256"/>
      <c r="M516" s="23"/>
      <c r="N516" s="32"/>
      <c r="O516" s="207">
        <v>0</v>
      </c>
      <c r="P516" s="194">
        <f>P509/(1+$D$494)^P$514</f>
        <v>267024.41164367448</v>
      </c>
      <c r="Q516" s="194">
        <f t="shared" ref="Q516:T516" ca="1" si="302">Q509/(1+$D$494)^Q$514</f>
        <v>413749.86221108207</v>
      </c>
      <c r="R516" s="194">
        <f t="shared" ca="1" si="302"/>
        <v>456605.63858983543</v>
      </c>
      <c r="S516" s="194">
        <f t="shared" ca="1" si="302"/>
        <v>509475.55649413419</v>
      </c>
      <c r="T516" s="194">
        <f t="shared" ca="1" si="302"/>
        <v>584618.38267944951</v>
      </c>
      <c r="U516" s="32"/>
      <c r="V516" s="32"/>
      <c r="W516" s="407"/>
    </row>
    <row r="517" spans="2:26" ht="14.6" customHeight="1" x14ac:dyDescent="0.35">
      <c r="B517" s="191" t="s">
        <v>326</v>
      </c>
      <c r="C517" s="17"/>
      <c r="D517" s="21"/>
      <c r="E517" s="21"/>
      <c r="M517" s="23"/>
      <c r="N517" s="32"/>
      <c r="O517" s="196">
        <v>0</v>
      </c>
      <c r="P517" s="198">
        <f t="shared" ref="P517:T517" si="303">P510/(1+$D$494)^P$514</f>
        <v>0</v>
      </c>
      <c r="Q517" s="198">
        <f t="shared" si="303"/>
        <v>0</v>
      </c>
      <c r="R517" s="198">
        <f t="shared" si="303"/>
        <v>0</v>
      </c>
      <c r="S517" s="198">
        <f t="shared" si="303"/>
        <v>0</v>
      </c>
      <c r="T517" s="198">
        <f t="shared" ca="1" si="303"/>
        <v>64607943.419536918</v>
      </c>
      <c r="U517" s="32"/>
      <c r="V517" s="32"/>
      <c r="W517" s="407"/>
    </row>
    <row r="518" spans="2:26" ht="14.6" customHeight="1" x14ac:dyDescent="0.3">
      <c r="B518" s="191" t="s">
        <v>327</v>
      </c>
      <c r="C518" s="17"/>
      <c r="D518" s="199"/>
      <c r="E518" s="199"/>
      <c r="M518" s="32"/>
      <c r="N518" s="32"/>
      <c r="O518" s="115">
        <f t="shared" ref="O518:T518" si="304">SUM(O516:O517)</f>
        <v>0</v>
      </c>
      <c r="P518" s="194">
        <f t="shared" si="304"/>
        <v>267024.41164367448</v>
      </c>
      <c r="Q518" s="194">
        <f t="shared" ca="1" si="304"/>
        <v>413749.86221108207</v>
      </c>
      <c r="R518" s="194">
        <f t="shared" ca="1" si="304"/>
        <v>456605.63858983543</v>
      </c>
      <c r="S518" s="194">
        <f t="shared" ca="1" si="304"/>
        <v>509475.55649413419</v>
      </c>
      <c r="T518" s="194">
        <f t="shared" ca="1" si="304"/>
        <v>65192561.802216366</v>
      </c>
      <c r="U518" s="32"/>
      <c r="V518" s="32"/>
      <c r="W518" s="407"/>
    </row>
    <row r="519" spans="2:26" ht="14.6" customHeight="1" x14ac:dyDescent="0.3">
      <c r="B519" s="149"/>
      <c r="C519" s="17"/>
      <c r="D519" s="21"/>
      <c r="E519" s="21"/>
      <c r="M519" s="200"/>
      <c r="N519" s="200"/>
      <c r="O519" s="193"/>
      <c r="P519" s="208"/>
      <c r="Q519" s="208"/>
      <c r="R519" s="208"/>
      <c r="S519" s="208"/>
      <c r="T519" s="208"/>
      <c r="U519" s="32"/>
      <c r="V519" s="32"/>
      <c r="W519" s="407"/>
    </row>
    <row r="520" spans="2:26" ht="14.6" customHeight="1" x14ac:dyDescent="0.35">
      <c r="B520" s="23"/>
      <c r="C520" s="23"/>
      <c r="D520" s="23"/>
      <c r="E520" s="23"/>
      <c r="M520" s="209"/>
      <c r="N520" s="209"/>
      <c r="O520" s="209"/>
      <c r="P520" s="209"/>
      <c r="Q520" s="209"/>
      <c r="R520" s="209"/>
      <c r="S520" s="209"/>
      <c r="T520" s="209"/>
      <c r="U520" s="23"/>
      <c r="V520" s="23"/>
      <c r="W520" s="407"/>
    </row>
    <row r="521" spans="2:26" ht="14.6" customHeight="1" x14ac:dyDescent="0.35">
      <c r="B521" s="23"/>
      <c r="C521" s="23"/>
      <c r="D521" s="23"/>
      <c r="E521" s="23"/>
      <c r="M521" s="209"/>
      <c r="N521" s="209"/>
      <c r="O521" s="209"/>
      <c r="P521" s="209"/>
      <c r="Q521" s="209"/>
      <c r="R521" s="209"/>
      <c r="S521" s="209"/>
      <c r="T521" s="209"/>
      <c r="U521" s="23"/>
      <c r="V521" s="23"/>
      <c r="W521" s="407"/>
    </row>
    <row r="522" spans="2:26" ht="14.6" customHeight="1" x14ac:dyDescent="0.35">
      <c r="B522" s="23"/>
      <c r="C522" s="23"/>
      <c r="D522" s="23"/>
      <c r="E522" s="23"/>
      <c r="M522" s="210" t="s">
        <v>332</v>
      </c>
      <c r="N522" s="211"/>
      <c r="O522" s="209"/>
      <c r="P522" s="209"/>
      <c r="Q522" s="210" t="s">
        <v>332</v>
      </c>
      <c r="R522" s="211"/>
      <c r="S522" s="209"/>
      <c r="T522" s="209"/>
      <c r="U522" s="23"/>
      <c r="V522" s="23"/>
      <c r="W522" s="407"/>
    </row>
    <row r="523" spans="2:26" ht="14.6" customHeight="1" x14ac:dyDescent="0.35">
      <c r="B523" s="23"/>
      <c r="C523" s="23"/>
      <c r="D523" s="23"/>
      <c r="E523" s="23"/>
      <c r="M523" s="212" t="s">
        <v>333</v>
      </c>
      <c r="N523" s="213"/>
      <c r="O523" s="214">
        <f ca="1">SUM(P518:T518)</f>
        <v>66839417.271155089</v>
      </c>
      <c r="P523" s="215"/>
      <c r="Q523" s="212" t="s">
        <v>334</v>
      </c>
      <c r="R523" s="213"/>
      <c r="S523" s="216">
        <f ca="1">T523/T525</f>
        <v>3.3385597043216302E-2</v>
      </c>
      <c r="T523" s="214">
        <f ca="1">SUM(P516:T516)</f>
        <v>2231473.8516181759</v>
      </c>
      <c r="U523" s="23"/>
      <c r="V523" s="23"/>
      <c r="W523" s="407"/>
    </row>
    <row r="524" spans="2:26" ht="14.6" customHeight="1" x14ac:dyDescent="0.35">
      <c r="B524" s="23"/>
      <c r="C524" s="23"/>
      <c r="D524" s="23"/>
      <c r="E524" s="23"/>
      <c r="M524" s="217" t="s">
        <v>335</v>
      </c>
      <c r="N524" s="218"/>
      <c r="O524" s="219">
        <f ca="1">XNPV(D494,O511:T511,O496:T496)</f>
        <v>66837912.144113183</v>
      </c>
      <c r="P524" s="215"/>
      <c r="Q524" s="220" t="s">
        <v>336</v>
      </c>
      <c r="R524" s="209"/>
      <c r="S524" s="221">
        <f ca="1">T524/T525</f>
        <v>0.9666144029567838</v>
      </c>
      <c r="T524" s="222">
        <f ca="1">T517</f>
        <v>64607943.419536918</v>
      </c>
      <c r="U524" s="23"/>
      <c r="V524" s="23"/>
      <c r="W524" s="407"/>
    </row>
    <row r="525" spans="2:26" ht="14.6" customHeight="1" x14ac:dyDescent="0.35">
      <c r="B525" s="23"/>
      <c r="C525" s="23"/>
      <c r="D525" s="23"/>
      <c r="E525" s="23"/>
      <c r="M525" s="23"/>
      <c r="N525" s="23"/>
      <c r="O525" s="23"/>
      <c r="P525" s="223"/>
      <c r="Q525" s="220" t="s">
        <v>332</v>
      </c>
      <c r="R525" s="209"/>
      <c r="S525" s="216">
        <f ca="1">SUM(S523:S524)</f>
        <v>1</v>
      </c>
      <c r="T525" s="214">
        <f ca="1">O523</f>
        <v>66839417.271155089</v>
      </c>
      <c r="U525" s="23"/>
      <c r="V525" s="23"/>
      <c r="W525" s="407"/>
    </row>
    <row r="526" spans="2:26" ht="14.6" customHeight="1" x14ac:dyDescent="0.35">
      <c r="B526" s="23"/>
      <c r="C526" s="23"/>
      <c r="D526" s="23"/>
      <c r="E526" s="23"/>
      <c r="M526" s="209"/>
      <c r="N526" s="209"/>
      <c r="O526" s="209"/>
      <c r="P526" s="223"/>
      <c r="Q526" s="213"/>
      <c r="R526" s="213"/>
      <c r="S526" s="213"/>
      <c r="T526" s="213"/>
      <c r="U526" s="23"/>
      <c r="V526" s="23"/>
      <c r="W526" s="407"/>
    </row>
    <row r="527" spans="2:26" ht="14.6" customHeight="1" x14ac:dyDescent="0.35">
      <c r="B527" s="23"/>
      <c r="C527" s="23"/>
      <c r="D527" s="23"/>
      <c r="E527" s="23"/>
      <c r="M527" s="209"/>
      <c r="N527" s="209"/>
      <c r="O527" s="209"/>
      <c r="P527" s="223"/>
      <c r="Q527" s="209"/>
      <c r="R527" s="209"/>
      <c r="S527" s="209"/>
      <c r="T527" s="209"/>
      <c r="U527" s="23"/>
      <c r="V527" s="23"/>
      <c r="W527" s="407"/>
    </row>
    <row r="528" spans="2:26" ht="14.6" customHeight="1" x14ac:dyDescent="0.35">
      <c r="B528" s="23"/>
      <c r="C528" s="23"/>
      <c r="D528" s="23"/>
      <c r="E528" s="23"/>
      <c r="M528" s="210" t="s">
        <v>337</v>
      </c>
      <c r="N528" s="32"/>
      <c r="O528" s="209"/>
      <c r="P528" s="223"/>
      <c r="Q528" s="210" t="s">
        <v>338</v>
      </c>
      <c r="R528" s="32"/>
      <c r="S528" s="209"/>
      <c r="T528" s="209"/>
      <c r="U528" s="23"/>
      <c r="V528" s="23"/>
      <c r="W528" s="407" t="s">
        <v>515</v>
      </c>
      <c r="X528">
        <v>2170</v>
      </c>
      <c r="Y528" s="169">
        <f ca="1">$T$531/X528-1</f>
        <v>0.22293958817415915</v>
      </c>
      <c r="Z528" s="227" t="s">
        <v>597</v>
      </c>
    </row>
    <row r="529" spans="1:26" ht="14.6" customHeight="1" x14ac:dyDescent="0.35">
      <c r="B529" s="23"/>
      <c r="C529" s="23"/>
      <c r="D529" s="23"/>
      <c r="E529" s="23"/>
      <c r="M529" s="212" t="s">
        <v>332</v>
      </c>
      <c r="N529" s="213"/>
      <c r="O529" s="214">
        <f ca="1">O523</f>
        <v>66839417.271155089</v>
      </c>
      <c r="P529" s="215"/>
      <c r="Q529" s="212" t="s">
        <v>337</v>
      </c>
      <c r="R529" s="213"/>
      <c r="S529" s="213"/>
      <c r="T529" s="214">
        <f ca="1">O531</f>
        <v>68817794.599155083</v>
      </c>
      <c r="U529" s="23"/>
      <c r="V529" s="23"/>
      <c r="W529" s="407" t="s">
        <v>515</v>
      </c>
      <c r="X529">
        <v>2205</v>
      </c>
      <c r="Y529" s="169">
        <f ca="1">$T$531/X529-1</f>
        <v>0.20352784867933127</v>
      </c>
      <c r="Z529" s="227" t="s">
        <v>596</v>
      </c>
    </row>
    <row r="530" spans="1:26" ht="14.6" customHeight="1" x14ac:dyDescent="0.35">
      <c r="B530" s="23"/>
      <c r="C530" s="23"/>
      <c r="D530" s="23"/>
      <c r="E530" s="23"/>
      <c r="M530" s="220" t="s">
        <v>341</v>
      </c>
      <c r="N530" s="209"/>
      <c r="O530" s="222">
        <f>Inputs!G88</f>
        <v>1978377.328</v>
      </c>
      <c r="P530" s="223"/>
      <c r="Q530" s="220" t="s">
        <v>339</v>
      </c>
      <c r="R530" s="209"/>
      <c r="S530" s="224"/>
      <c r="T530" s="222">
        <v>25932</v>
      </c>
      <c r="U530" s="23"/>
      <c r="V530" s="23"/>
      <c r="W530" s="407" t="s">
        <v>514</v>
      </c>
      <c r="X530">
        <v>2370</v>
      </c>
      <c r="Y530" s="169">
        <f ca="1">T531/X530-1</f>
        <v>0.11973793516368159</v>
      </c>
    </row>
    <row r="531" spans="1:26" ht="14.6" customHeight="1" x14ac:dyDescent="0.35">
      <c r="B531" s="23"/>
      <c r="C531" s="23"/>
      <c r="D531" s="23"/>
      <c r="E531" s="23"/>
      <c r="M531" s="217" t="s">
        <v>337</v>
      </c>
      <c r="N531" s="218"/>
      <c r="O531" s="225">
        <f ca="1">SUM(O529:O530)</f>
        <v>68817794.599155083</v>
      </c>
      <c r="P531" s="215"/>
      <c r="Q531" s="220" t="s">
        <v>337</v>
      </c>
      <c r="R531" s="209"/>
      <c r="S531" s="226" t="s">
        <v>340</v>
      </c>
      <c r="T531" s="395">
        <f ca="1">T529/T530</f>
        <v>2653.7789063379255</v>
      </c>
      <c r="U531" s="23"/>
      <c r="V531" s="23"/>
      <c r="W531" s="407"/>
    </row>
    <row r="532" spans="1:26" ht="14.6" customHeight="1" x14ac:dyDescent="0.35">
      <c r="B532" s="23"/>
      <c r="C532" s="32"/>
      <c r="D532" s="23"/>
      <c r="E532" s="23"/>
      <c r="M532" s="209"/>
      <c r="N532" s="209"/>
      <c r="O532" s="209"/>
      <c r="P532" s="209"/>
      <c r="Q532" s="213"/>
      <c r="R532" s="213"/>
      <c r="S532" s="213"/>
      <c r="T532" s="213"/>
      <c r="U532" s="23"/>
      <c r="V532" s="23"/>
      <c r="W532" s="407"/>
    </row>
    <row r="533" spans="1:26" ht="14.6" customHeight="1" x14ac:dyDescent="0.3">
      <c r="V533" s="169"/>
      <c r="W533" s="407"/>
    </row>
    <row r="534" spans="1:26" ht="14.6" customHeight="1" x14ac:dyDescent="0.3">
      <c r="A534" t="s">
        <v>90</v>
      </c>
      <c r="B534" s="369" t="s">
        <v>608</v>
      </c>
      <c r="C534" s="368"/>
      <c r="D534" s="368"/>
      <c r="E534" s="368"/>
      <c r="F534" s="368"/>
      <c r="G534" s="371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69"/>
      <c r="W534" s="407"/>
    </row>
    <row r="535" spans="1:26" ht="14.6" customHeight="1" x14ac:dyDescent="0.3">
      <c r="B535" s="4" t="s">
        <v>8</v>
      </c>
      <c r="W535" s="407"/>
    </row>
    <row r="536" spans="1:26" ht="14.6" customHeight="1" x14ac:dyDescent="0.3">
      <c r="B536" s="227"/>
      <c r="W536" s="407"/>
    </row>
    <row r="537" spans="1:26" ht="14.6" customHeight="1" x14ac:dyDescent="0.3">
      <c r="B537" s="3" t="s">
        <v>629</v>
      </c>
      <c r="W537" s="407"/>
    </row>
    <row r="538" spans="1:26" ht="14.6" customHeight="1" x14ac:dyDescent="0.3">
      <c r="B538" s="92" t="s">
        <v>322</v>
      </c>
      <c r="C538" s="68"/>
      <c r="D538" s="343"/>
      <c r="E538" s="309">
        <f>D494</f>
        <v>2.1231268905577805E-2</v>
      </c>
      <c r="G538" s="475" t="s">
        <v>320</v>
      </c>
      <c r="H538" s="470" t="s">
        <v>521</v>
      </c>
      <c r="I538" s="467"/>
      <c r="J538" s="467"/>
      <c r="K538" s="467" t="s">
        <v>520</v>
      </c>
      <c r="L538" s="467"/>
      <c r="M538" s="467"/>
      <c r="N538" s="468" t="s">
        <v>634</v>
      </c>
      <c r="O538" s="468"/>
      <c r="P538" s="469"/>
      <c r="W538" s="408" t="s">
        <v>501</v>
      </c>
    </row>
    <row r="539" spans="1:26" ht="14.6" customHeight="1" x14ac:dyDescent="0.3">
      <c r="B539" s="11" t="s">
        <v>392</v>
      </c>
      <c r="D539" s="344"/>
      <c r="E539" s="311">
        <f>D493</f>
        <v>6.192246325636086E-3</v>
      </c>
      <c r="G539" s="476" t="s">
        <v>516</v>
      </c>
      <c r="H539" s="471" t="s">
        <v>519</v>
      </c>
      <c r="I539" s="472"/>
      <c r="J539" s="472"/>
      <c r="K539" s="465">
        <v>2370</v>
      </c>
      <c r="L539" s="465"/>
      <c r="M539" s="465"/>
      <c r="N539" s="461">
        <v>0.12</v>
      </c>
      <c r="O539" s="461"/>
      <c r="P539" s="462"/>
      <c r="W539" s="407"/>
    </row>
    <row r="540" spans="1:26" ht="14.6" customHeight="1" x14ac:dyDescent="0.3">
      <c r="B540" s="11" t="s">
        <v>497</v>
      </c>
      <c r="D540" s="230"/>
      <c r="E540" s="304">
        <f>Model!O530</f>
        <v>1978377.328</v>
      </c>
      <c r="G540" s="477" t="s">
        <v>517</v>
      </c>
      <c r="H540" s="474" t="s">
        <v>518</v>
      </c>
      <c r="I540" s="473"/>
      <c r="J540" s="473"/>
      <c r="K540" s="466">
        <v>2205</v>
      </c>
      <c r="L540" s="466"/>
      <c r="M540" s="466"/>
      <c r="N540" s="463">
        <f>$O$549/K540-1</f>
        <v>0.20350152609341765</v>
      </c>
      <c r="O540" s="463"/>
      <c r="P540" s="464"/>
      <c r="W540" s="407"/>
    </row>
    <row r="541" spans="1:26" ht="14.6" customHeight="1" x14ac:dyDescent="0.3">
      <c r="B541" s="11" t="s">
        <v>499</v>
      </c>
      <c r="C541" s="406"/>
      <c r="D541" s="459" t="s">
        <v>500</v>
      </c>
      <c r="E541" s="304">
        <f>Inputs!G89</f>
        <v>25932</v>
      </c>
      <c r="W541" s="407"/>
    </row>
    <row r="542" spans="1:26" ht="14.6" customHeight="1" x14ac:dyDescent="0.3">
      <c r="B542" s="460" t="s">
        <v>631</v>
      </c>
      <c r="C542" s="44"/>
      <c r="D542" s="44"/>
      <c r="E542" s="451">
        <f>Inputs!G90</f>
        <v>2350</v>
      </c>
      <c r="W542" s="407"/>
    </row>
    <row r="543" spans="1:26" ht="14.6" customHeight="1" x14ac:dyDescent="0.3">
      <c r="W543" s="407"/>
    </row>
    <row r="544" spans="1:26" ht="14.6" customHeight="1" x14ac:dyDescent="0.3">
      <c r="G544" s="300" t="s">
        <v>332</v>
      </c>
      <c r="O544" s="300" t="s">
        <v>443</v>
      </c>
      <c r="W544" s="408" t="s">
        <v>598</v>
      </c>
    </row>
    <row r="545" spans="3:30" ht="14.6" customHeight="1" x14ac:dyDescent="0.3">
      <c r="G545" s="299" t="s">
        <v>392</v>
      </c>
      <c r="O545" s="299" t="s">
        <v>392</v>
      </c>
      <c r="W545" s="407"/>
      <c r="X545" t="s">
        <v>599</v>
      </c>
      <c r="Z545" t="s">
        <v>600</v>
      </c>
      <c r="AB545" t="s">
        <v>602</v>
      </c>
      <c r="AD545" t="s">
        <v>601</v>
      </c>
    </row>
    <row r="546" spans="3:30" ht="14.6" customHeight="1" x14ac:dyDescent="0.3">
      <c r="D546" s="372">
        <f ca="1">O524</f>
        <v>66837912.144113183</v>
      </c>
      <c r="E546" s="256">
        <v>3.7290889380929837E-3</v>
      </c>
      <c r="F546" s="256">
        <v>4.9629315732038215E-3</v>
      </c>
      <c r="G546" s="256">
        <v>6.192246325636086E-3</v>
      </c>
      <c r="H546" s="256">
        <v>7.4170717777328754E-3</v>
      </c>
      <c r="I546" s="256">
        <v>8.6374459977134332E-3</v>
      </c>
      <c r="M546" s="256">
        <f>E546</f>
        <v>3.7290889380929837E-3</v>
      </c>
      <c r="N546" s="256">
        <f t="shared" ref="N546:Q546" si="305">F546</f>
        <v>4.9629315732038215E-3</v>
      </c>
      <c r="O546" s="256">
        <f t="shared" si="305"/>
        <v>6.192246325636086E-3</v>
      </c>
      <c r="P546" s="256">
        <f t="shared" si="305"/>
        <v>7.4170717777328754E-3</v>
      </c>
      <c r="Q546" s="256">
        <f t="shared" si="305"/>
        <v>8.6374459977134332E-3</v>
      </c>
      <c r="W546" s="408"/>
      <c r="X546" s="65">
        <v>7.7499999999999999E-2</v>
      </c>
      <c r="Z546" s="65">
        <f>((1+X546)^(1/4))-1</f>
        <v>1.8836088191488631E-2</v>
      </c>
      <c r="AB546" s="65">
        <v>1.4999999999999999E-2</v>
      </c>
      <c r="AD546" s="65">
        <f>((1+AB546)^(1/4))-1</f>
        <v>3.7290889380929837E-3</v>
      </c>
    </row>
    <row r="547" spans="3:30" ht="14.6" customHeight="1" x14ac:dyDescent="0.3">
      <c r="C547" s="362" t="s">
        <v>322</v>
      </c>
      <c r="D547" s="256">
        <v>1.8244601098569957E-2</v>
      </c>
      <c r="E547" s="301">
        <f t="dataTable" ref="E547:I551" dt2D="1" dtr="1" r1="D493" r2="D494" ca="1"/>
        <v>69393179.789220795</v>
      </c>
      <c r="F547" s="264">
        <v>75631955.240292057</v>
      </c>
      <c r="G547" s="264">
        <v>83118184.65280351</v>
      </c>
      <c r="H547" s="264">
        <v>92267688.462188989</v>
      </c>
      <c r="I547" s="302">
        <v>103704197.28786337</v>
      </c>
      <c r="K547" s="362" t="s">
        <v>322</v>
      </c>
      <c r="L547" s="256">
        <f>D547</f>
        <v>1.8244601098569957E-2</v>
      </c>
      <c r="M547" s="396">
        <f t="shared" ref="M547:Q547" si="306">E557/$E$541</f>
        <v>2752.2581026230446</v>
      </c>
      <c r="N547" s="397">
        <f t="shared" si="306"/>
        <v>2992.8402193541592</v>
      </c>
      <c r="O547" s="397">
        <f t="shared" si="306"/>
        <v>3281.5271471850806</v>
      </c>
      <c r="P547" s="397">
        <f t="shared" si="306"/>
        <v>3634.3539175608894</v>
      </c>
      <c r="Q547" s="398">
        <f t="shared" si="306"/>
        <v>4075.3730763482713</v>
      </c>
      <c r="W547" s="407"/>
      <c r="X547" s="65">
        <v>8.2500000000000004E-2</v>
      </c>
      <c r="Z547" s="65">
        <f t="shared" ref="Z547:Z552" si="307">((1+X547)^(1/4))-1</f>
        <v>2.0015981411193762E-2</v>
      </c>
      <c r="AB547" s="65">
        <v>0.02</v>
      </c>
      <c r="AD547" s="65">
        <f t="shared" ref="AD547:AD550" si="308">((1+AB547)^(1/4))-1</f>
        <v>4.9629315732038215E-3</v>
      </c>
    </row>
    <row r="548" spans="3:30" ht="14.6" customHeight="1" x14ac:dyDescent="0.3">
      <c r="C548" s="362"/>
      <c r="D548" s="256">
        <v>2.0015981411193762E-2</v>
      </c>
      <c r="E548" s="303">
        <v>61969609.529460981</v>
      </c>
      <c r="F548" s="121">
        <v>66865973.963093422</v>
      </c>
      <c r="G548" s="121">
        <v>72613618.238533422</v>
      </c>
      <c r="H548" s="121">
        <v>79455767.266201779</v>
      </c>
      <c r="I548" s="304">
        <v>87738056.416705623</v>
      </c>
      <c r="K548" s="362"/>
      <c r="L548" s="256">
        <f t="shared" ref="L548:L551" si="309">D548</f>
        <v>2.0015981411193762E-2</v>
      </c>
      <c r="M548" s="399">
        <f t="shared" ref="M548:Q548" si="310">E558/$E$541</f>
        <v>2465.9874617253195</v>
      </c>
      <c r="N548" s="400">
        <f t="shared" si="310"/>
        <v>2654.8029959545511</v>
      </c>
      <c r="O548" s="400">
        <f t="shared" si="310"/>
        <v>2876.4459188081682</v>
      </c>
      <c r="P548" s="400">
        <f t="shared" si="310"/>
        <v>3140.2955651011021</v>
      </c>
      <c r="Q548" s="401">
        <f t="shared" si="310"/>
        <v>3459.6804621589395</v>
      </c>
      <c r="W548" s="408" t="s">
        <v>603</v>
      </c>
      <c r="X548" s="65">
        <f>Inputs!N83</f>
        <v>8.7668160891869518E-2</v>
      </c>
      <c r="Z548" s="65">
        <f t="shared" si="307"/>
        <v>2.1231268905577805E-2</v>
      </c>
      <c r="AB548" s="65">
        <v>2.5000000000000001E-2</v>
      </c>
      <c r="AD548" s="65">
        <f t="shared" si="308"/>
        <v>6.192246325636086E-3</v>
      </c>
    </row>
    <row r="549" spans="3:30" ht="14.6" customHeight="1" x14ac:dyDescent="0.3">
      <c r="C549" s="362"/>
      <c r="D549" s="256">
        <v>2.1231268905577805E-2</v>
      </c>
      <c r="E549" s="303">
        <v>57745560.718363054</v>
      </c>
      <c r="F549" s="121">
        <v>61955930.749948747</v>
      </c>
      <c r="G549" s="315">
        <v>66837912.144113183</v>
      </c>
      <c r="H549" s="121">
        <v>72566198.881918937</v>
      </c>
      <c r="I549" s="304">
        <v>79381822.523194119</v>
      </c>
      <c r="K549" s="362"/>
      <c r="L549" s="256">
        <f t="shared" si="309"/>
        <v>2.1231268905577805E-2</v>
      </c>
      <c r="M549" s="399">
        <f t="shared" ref="M549:N549" si="311">E559/$E$541</f>
        <v>2303.0980273933001</v>
      </c>
      <c r="N549" s="400">
        <f t="shared" si="311"/>
        <v>2465.4599752409667</v>
      </c>
      <c r="O549" s="402">
        <f>G559/$E$541</f>
        <v>2653.7208650359858</v>
      </c>
      <c r="P549" s="400">
        <f t="shared" ref="P549:Q549" si="312">H559/$E$541</f>
        <v>2874.617314897383</v>
      </c>
      <c r="Q549" s="401">
        <f t="shared" si="312"/>
        <v>3137.4440787904564</v>
      </c>
      <c r="W549" s="407"/>
      <c r="X549" s="65">
        <v>9.5000000000000001E-2</v>
      </c>
      <c r="Z549" s="65">
        <f t="shared" si="307"/>
        <v>2.294793456109856E-2</v>
      </c>
      <c r="AB549" s="65">
        <v>0.03</v>
      </c>
      <c r="AD549" s="65">
        <f t="shared" si="308"/>
        <v>7.4170717777328754E-3</v>
      </c>
    </row>
    <row r="550" spans="3:30" ht="14.6" customHeight="1" x14ac:dyDescent="0.3">
      <c r="C550" s="362"/>
      <c r="D550" s="256">
        <v>2.294793456109856E-2</v>
      </c>
      <c r="E550" s="303">
        <v>52688994.854043469</v>
      </c>
      <c r="F550" s="121">
        <v>56150766.46822843</v>
      </c>
      <c r="G550" s="121">
        <v>60106861.905455828</v>
      </c>
      <c r="H550" s="121">
        <v>64671357.588974684</v>
      </c>
      <c r="I550" s="304">
        <v>69996355.393954158</v>
      </c>
      <c r="K550" s="362"/>
      <c r="L550" s="256">
        <f t="shared" si="309"/>
        <v>2.294793456109856E-2</v>
      </c>
      <c r="M550" s="399">
        <f t="shared" ref="M550:Q550" si="313">E560/$E$541</f>
        <v>2108.1047424820094</v>
      </c>
      <c r="N550" s="400">
        <f t="shared" si="313"/>
        <v>2241.5989432449651</v>
      </c>
      <c r="O550" s="400">
        <f t="shared" si="313"/>
        <v>2394.1554540126417</v>
      </c>
      <c r="P550" s="400">
        <f t="shared" si="313"/>
        <v>2570.1733347591658</v>
      </c>
      <c r="Q550" s="401">
        <f t="shared" si="313"/>
        <v>2775.5179979158629</v>
      </c>
      <c r="W550" s="407" t="s">
        <v>641</v>
      </c>
      <c r="X550" s="65">
        <v>0.10249999999999999</v>
      </c>
      <c r="Z550" s="65">
        <f t="shared" si="307"/>
        <v>2.4695076595959931E-2</v>
      </c>
      <c r="AB550" s="65">
        <v>3.5000000000000003E-2</v>
      </c>
      <c r="AD550" s="65">
        <f t="shared" si="308"/>
        <v>8.6374459977134332E-3</v>
      </c>
    </row>
    <row r="551" spans="3:30" ht="14.6" customHeight="1" x14ac:dyDescent="0.3">
      <c r="C551" s="362"/>
      <c r="D551" s="256">
        <v>2.4695076595959931E-2</v>
      </c>
      <c r="E551" s="305">
        <v>48392772.223465912</v>
      </c>
      <c r="F551" s="306">
        <v>51279555.029414169</v>
      </c>
      <c r="G551" s="306">
        <v>54538631.801941864</v>
      </c>
      <c r="H551" s="306">
        <v>58247030.398453951</v>
      </c>
      <c r="I551" s="307">
        <v>62504601.725217707</v>
      </c>
      <c r="K551" s="362"/>
      <c r="L551" s="256">
        <f t="shared" si="309"/>
        <v>2.4695076595959931E-2</v>
      </c>
      <c r="M551" s="403">
        <f t="shared" ref="M551:Q551" si="314">E561/$E$541</f>
        <v>1942.4321128900938</v>
      </c>
      <c r="N551" s="404">
        <f t="shared" si="314"/>
        <v>2053.7533687110199</v>
      </c>
      <c r="O551" s="404">
        <f t="shared" si="314"/>
        <v>2179.4311711376627</v>
      </c>
      <c r="P551" s="404">
        <f t="shared" si="314"/>
        <v>2322.4358987526589</v>
      </c>
      <c r="Q551" s="405">
        <f t="shared" si="314"/>
        <v>2486.6180415400936</v>
      </c>
      <c r="W551" s="407"/>
    </row>
    <row r="552" spans="3:30" ht="14.6" customHeight="1" x14ac:dyDescent="0.3">
      <c r="W552" s="408" t="s">
        <v>642</v>
      </c>
      <c r="X552" s="65">
        <v>7.4999999999999997E-2</v>
      </c>
      <c r="Z552" s="65">
        <f t="shared" si="307"/>
        <v>1.8244601098569957E-2</v>
      </c>
    </row>
    <row r="553" spans="3:30" ht="14.6" customHeight="1" x14ac:dyDescent="0.3">
      <c r="W553" s="407"/>
      <c r="X553" s="435" t="s">
        <v>607</v>
      </c>
      <c r="Y553" t="s">
        <v>605</v>
      </c>
      <c r="Z553" s="252">
        <v>3634.3539175608894</v>
      </c>
    </row>
    <row r="554" spans="3:30" ht="14.6" customHeight="1" x14ac:dyDescent="0.3">
      <c r="G554" s="300" t="s">
        <v>337</v>
      </c>
      <c r="O554" s="300" t="s">
        <v>634</v>
      </c>
      <c r="W554" s="414"/>
      <c r="Y554" t="s">
        <v>606</v>
      </c>
      <c r="Z554" s="65">
        <v>0.64823306918861201</v>
      </c>
    </row>
    <row r="555" spans="3:30" ht="14.6" customHeight="1" x14ac:dyDescent="0.3">
      <c r="G555" s="299" t="s">
        <v>392</v>
      </c>
      <c r="O555" s="299" t="s">
        <v>392</v>
      </c>
      <c r="W555" s="408" t="s">
        <v>643</v>
      </c>
    </row>
    <row r="556" spans="3:30" ht="14.6" customHeight="1" x14ac:dyDescent="0.3">
      <c r="E556" s="256">
        <f>E546</f>
        <v>3.7290889380929837E-3</v>
      </c>
      <c r="F556" s="256">
        <f t="shared" ref="F556:I556" si="315">F546</f>
        <v>4.9629315732038215E-3</v>
      </c>
      <c r="G556" s="256">
        <f t="shared" si="315"/>
        <v>6.192246325636086E-3</v>
      </c>
      <c r="H556" s="256">
        <f t="shared" si="315"/>
        <v>7.4170717777328754E-3</v>
      </c>
      <c r="I556" s="256">
        <f t="shared" si="315"/>
        <v>8.6374459977134332E-3</v>
      </c>
      <c r="M556" s="256">
        <f>E556</f>
        <v>3.7290889380929837E-3</v>
      </c>
      <c r="N556" s="256">
        <f t="shared" ref="N556:Q556" si="316">F556</f>
        <v>4.9629315732038215E-3</v>
      </c>
      <c r="O556" s="256">
        <f t="shared" si="316"/>
        <v>6.192246325636086E-3</v>
      </c>
      <c r="P556" s="256">
        <f t="shared" si="316"/>
        <v>7.4170717777328754E-3</v>
      </c>
      <c r="Q556" s="256">
        <f t="shared" si="316"/>
        <v>8.6374459977134332E-3</v>
      </c>
      <c r="W556" s="407"/>
    </row>
    <row r="557" spans="3:30" ht="14.6" customHeight="1" x14ac:dyDescent="0.3">
      <c r="C557" s="362" t="s">
        <v>322</v>
      </c>
      <c r="D557" s="256">
        <f>D547</f>
        <v>1.8244601098569957E-2</v>
      </c>
      <c r="E557" s="301">
        <f>E547+$E$540</f>
        <v>71371557.117220789</v>
      </c>
      <c r="F557" s="264">
        <f t="shared" ref="F557:I557" si="317">F547+$E$540</f>
        <v>77610332.568292052</v>
      </c>
      <c r="G557" s="264">
        <f t="shared" si="317"/>
        <v>85096561.980803505</v>
      </c>
      <c r="H557" s="264">
        <f t="shared" si="317"/>
        <v>94246065.790188983</v>
      </c>
      <c r="I557" s="302">
        <f t="shared" si="317"/>
        <v>105682574.61586337</v>
      </c>
      <c r="K557" s="362" t="s">
        <v>322</v>
      </c>
      <c r="L557" s="256">
        <f>D557</f>
        <v>1.8244601098569957E-2</v>
      </c>
      <c r="M557" s="308">
        <f>M547/$E$542-1</f>
        <v>0.17117366069065731</v>
      </c>
      <c r="N557" s="260">
        <f t="shared" ref="N557:Q557" si="318">N547/$E$542-1</f>
        <v>0.27354902951240812</v>
      </c>
      <c r="O557" s="260">
        <f t="shared" si="318"/>
        <v>0.39639453071705555</v>
      </c>
      <c r="P557" s="260">
        <f t="shared" si="318"/>
        <v>0.54653358194080393</v>
      </c>
      <c r="Q557" s="309">
        <f t="shared" si="318"/>
        <v>0.73420130908437087</v>
      </c>
      <c r="W557" s="407"/>
    </row>
    <row r="558" spans="3:30" ht="14.6" customHeight="1" x14ac:dyDescent="0.3">
      <c r="C558" s="362"/>
      <c r="D558" s="256">
        <f t="shared" ref="D558:D561" si="319">D548</f>
        <v>2.0015981411193762E-2</v>
      </c>
      <c r="E558" s="303">
        <f t="shared" ref="E558:I558" si="320">E548+$E$540</f>
        <v>63947986.857460983</v>
      </c>
      <c r="F558" s="121">
        <f t="shared" si="320"/>
        <v>68844351.291093424</v>
      </c>
      <c r="G558" s="121">
        <f t="shared" si="320"/>
        <v>74591995.566533417</v>
      </c>
      <c r="H558" s="121">
        <f t="shared" si="320"/>
        <v>81434144.594201773</v>
      </c>
      <c r="I558" s="304">
        <f t="shared" si="320"/>
        <v>89716433.744705617</v>
      </c>
      <c r="K558" s="362"/>
      <c r="L558" s="256">
        <f t="shared" ref="L558:L561" si="321">D558</f>
        <v>2.0015981411193762E-2</v>
      </c>
      <c r="M558" s="310">
        <f t="shared" ref="M558:Q558" si="322">M548/$E$542-1</f>
        <v>4.9356366691625242E-2</v>
      </c>
      <c r="N558" s="256">
        <f t="shared" si="322"/>
        <v>0.12970340253385149</v>
      </c>
      <c r="O558" s="256">
        <f t="shared" si="322"/>
        <v>0.22401953991836954</v>
      </c>
      <c r="P558" s="256">
        <f t="shared" si="322"/>
        <v>0.33629598514940517</v>
      </c>
      <c r="Q558" s="311">
        <f t="shared" si="322"/>
        <v>0.47220445198252747</v>
      </c>
      <c r="W558" s="408" t="s">
        <v>626</v>
      </c>
      <c r="X558" s="65">
        <v>0.105</v>
      </c>
      <c r="Z558" s="65">
        <f>((1+X558)^(1/4))-1</f>
        <v>2.5275476192341051E-2</v>
      </c>
    </row>
    <row r="559" spans="3:30" ht="14.6" customHeight="1" x14ac:dyDescent="0.3">
      <c r="C559" s="362"/>
      <c r="D559" s="256">
        <f t="shared" si="319"/>
        <v>2.1231268905577805E-2</v>
      </c>
      <c r="E559" s="303">
        <f t="shared" ref="E559:I559" si="323">E549+$E$540</f>
        <v>59723938.046363056</v>
      </c>
      <c r="F559" s="121">
        <f t="shared" si="323"/>
        <v>63934308.077948749</v>
      </c>
      <c r="G559" s="315">
        <f t="shared" si="323"/>
        <v>68816289.472113177</v>
      </c>
      <c r="H559" s="121">
        <f t="shared" si="323"/>
        <v>74544576.209918931</v>
      </c>
      <c r="I559" s="304">
        <f t="shared" si="323"/>
        <v>81360199.851194113</v>
      </c>
      <c r="K559" s="362"/>
      <c r="L559" s="256">
        <f t="shared" si="321"/>
        <v>2.1231268905577805E-2</v>
      </c>
      <c r="M559" s="310">
        <f t="shared" ref="M559:Q559" si="324">M549/$E$542-1</f>
        <v>-1.9958286215617016E-2</v>
      </c>
      <c r="N559" s="256">
        <f t="shared" si="324"/>
        <v>4.9131904357858192E-2</v>
      </c>
      <c r="O559" s="316">
        <f t="shared" si="324"/>
        <v>0.12924292129190884</v>
      </c>
      <c r="P559" s="256">
        <f t="shared" si="324"/>
        <v>0.22324141059463098</v>
      </c>
      <c r="Q559" s="311">
        <f t="shared" si="324"/>
        <v>0.33508258671934321</v>
      </c>
      <c r="W559" s="408"/>
      <c r="Y559" t="s">
        <v>605</v>
      </c>
      <c r="Z559" s="252">
        <v>1893.3</v>
      </c>
    </row>
    <row r="560" spans="3:30" ht="14.6" customHeight="1" x14ac:dyDescent="0.3">
      <c r="C560" s="362"/>
      <c r="D560" s="256">
        <f t="shared" si="319"/>
        <v>2.294793456109856E-2</v>
      </c>
      <c r="E560" s="303">
        <f t="shared" ref="E560:I560" si="325">E550+$E$540</f>
        <v>54667372.18204347</v>
      </c>
      <c r="F560" s="121">
        <f t="shared" si="325"/>
        <v>58129143.796228431</v>
      </c>
      <c r="G560" s="121">
        <f t="shared" si="325"/>
        <v>62085239.233455829</v>
      </c>
      <c r="H560" s="121">
        <f t="shared" si="325"/>
        <v>66649734.916974686</v>
      </c>
      <c r="I560" s="304">
        <f t="shared" si="325"/>
        <v>71974732.721954152</v>
      </c>
      <c r="K560" s="362"/>
      <c r="L560" s="256">
        <f t="shared" si="321"/>
        <v>2.294793456109856E-2</v>
      </c>
      <c r="M560" s="310">
        <f t="shared" ref="M560:Q560" si="326">M550/$E$542-1</f>
        <v>-0.10293415213531509</v>
      </c>
      <c r="N560" s="256">
        <f t="shared" si="326"/>
        <v>-4.6128109257461691E-2</v>
      </c>
      <c r="O560" s="256">
        <f t="shared" si="326"/>
        <v>1.8789554898996474E-2</v>
      </c>
      <c r="P560" s="256">
        <f t="shared" si="326"/>
        <v>9.3690780748581171E-2</v>
      </c>
      <c r="Q560" s="311">
        <f t="shared" si="326"/>
        <v>0.18107148847483523</v>
      </c>
      <c r="W560" s="407"/>
      <c r="Y560" t="s">
        <v>606</v>
      </c>
      <c r="Z560" s="65">
        <v>-0.14130000000000001</v>
      </c>
    </row>
    <row r="561" spans="1:23" ht="14.6" customHeight="1" x14ac:dyDescent="0.3">
      <c r="C561" s="362"/>
      <c r="D561" s="256">
        <f t="shared" si="319"/>
        <v>2.4695076595959931E-2</v>
      </c>
      <c r="E561" s="305">
        <f t="shared" ref="E561:I561" si="327">E551+$E$540</f>
        <v>50371149.551465914</v>
      </c>
      <c r="F561" s="306">
        <f t="shared" si="327"/>
        <v>53257932.357414171</v>
      </c>
      <c r="G561" s="306">
        <f t="shared" si="327"/>
        <v>56517009.129941866</v>
      </c>
      <c r="H561" s="306">
        <f t="shared" si="327"/>
        <v>60225407.726453952</v>
      </c>
      <c r="I561" s="307">
        <f t="shared" si="327"/>
        <v>64482979.053217709</v>
      </c>
      <c r="K561" s="362"/>
      <c r="L561" s="256">
        <f t="shared" si="321"/>
        <v>2.4695076595959931E-2</v>
      </c>
      <c r="M561" s="312">
        <f t="shared" ref="M561:Q561" si="328">M551/$E$542-1</f>
        <v>-0.1734331434510239</v>
      </c>
      <c r="N561" s="313">
        <f t="shared" si="328"/>
        <v>-0.12606239629318305</v>
      </c>
      <c r="O561" s="313">
        <f t="shared" si="328"/>
        <v>-7.2582480366952029E-2</v>
      </c>
      <c r="P561" s="313">
        <f t="shared" si="328"/>
        <v>-1.1729404786102626E-2</v>
      </c>
      <c r="Q561" s="314">
        <f t="shared" si="328"/>
        <v>5.8135336825571704E-2</v>
      </c>
      <c r="W561" s="407"/>
    </row>
    <row r="562" spans="1:23" ht="14.6" customHeight="1" x14ac:dyDescent="0.3">
      <c r="W562" s="407" t="s">
        <v>625</v>
      </c>
    </row>
    <row r="563" spans="1:23" x14ac:dyDescent="0.3">
      <c r="A563" t="s">
        <v>90</v>
      </c>
      <c r="W563" s="407" t="s">
        <v>611</v>
      </c>
    </row>
    <row r="564" spans="1:23" x14ac:dyDescent="0.3">
      <c r="W564" s="407"/>
    </row>
    <row r="565" spans="1:23" x14ac:dyDescent="0.3">
      <c r="B565" s="3" t="s">
        <v>630</v>
      </c>
      <c r="K565" s="376"/>
      <c r="L565" s="376"/>
      <c r="W565" s="407"/>
    </row>
    <row r="566" spans="1:23" x14ac:dyDescent="0.3">
      <c r="B566" s="433" t="s">
        <v>609</v>
      </c>
      <c r="F566" s="373" t="s">
        <v>624</v>
      </c>
      <c r="G566" s="373" t="s">
        <v>322</v>
      </c>
      <c r="H566" s="373" t="s">
        <v>397</v>
      </c>
      <c r="I566" s="373" t="s">
        <v>628</v>
      </c>
      <c r="J566" s="455" t="s">
        <v>644</v>
      </c>
      <c r="K566" s="406"/>
      <c r="L566" s="406"/>
      <c r="W566" s="407"/>
    </row>
    <row r="567" spans="1:23" x14ac:dyDescent="0.3">
      <c r="F567" s="373" t="s">
        <v>604</v>
      </c>
      <c r="G567" s="442">
        <v>0.105</v>
      </c>
      <c r="H567" s="443">
        <v>1.4999999999999999E-2</v>
      </c>
      <c r="I567" s="452">
        <v>1942.4</v>
      </c>
      <c r="J567" s="444">
        <v>-0.1734</v>
      </c>
      <c r="K567" s="11"/>
      <c r="L567" s="406"/>
      <c r="W567" s="414" t="s">
        <v>613</v>
      </c>
    </row>
    <row r="568" spans="1:23" x14ac:dyDescent="0.3">
      <c r="F568" s="373" t="s">
        <v>603</v>
      </c>
      <c r="G568" s="445">
        <f>X548</f>
        <v>8.7668160891869518E-2</v>
      </c>
      <c r="H568" s="446">
        <f>AB548</f>
        <v>2.5000000000000001E-2</v>
      </c>
      <c r="I568" s="453">
        <v>2653.7</v>
      </c>
      <c r="J568" s="447">
        <v>0.12920000000000001</v>
      </c>
      <c r="K568" s="11"/>
      <c r="L568" s="406"/>
      <c r="W568" s="408" t="s">
        <v>621</v>
      </c>
    </row>
    <row r="569" spans="1:23" x14ac:dyDescent="0.3">
      <c r="F569" s="373" t="s">
        <v>638</v>
      </c>
      <c r="G569" s="448">
        <v>7.4999999999999997E-2</v>
      </c>
      <c r="H569" s="449">
        <v>0.03</v>
      </c>
      <c r="I569" s="454">
        <v>3634.4</v>
      </c>
      <c r="J569" s="450">
        <v>0.54649999999999999</v>
      </c>
      <c r="W569" s="408" t="s">
        <v>622</v>
      </c>
    </row>
    <row r="570" spans="1:23" x14ac:dyDescent="0.3">
      <c r="W570" s="408" t="s">
        <v>623</v>
      </c>
    </row>
    <row r="571" spans="1:23" x14ac:dyDescent="0.3">
      <c r="W571" s="408"/>
    </row>
    <row r="572" spans="1:23" x14ac:dyDescent="0.3">
      <c r="B572" s="433" t="s">
        <v>610</v>
      </c>
      <c r="F572" s="373" t="s">
        <v>624</v>
      </c>
      <c r="G572" s="373" t="s">
        <v>612</v>
      </c>
      <c r="H572" s="373" t="s">
        <v>627</v>
      </c>
      <c r="I572" s="455" t="s">
        <v>644</v>
      </c>
      <c r="J572" s="376"/>
      <c r="W572" s="408" t="s">
        <v>618</v>
      </c>
    </row>
    <row r="573" spans="1:23" x14ac:dyDescent="0.3">
      <c r="F573" s="373" t="s">
        <v>604</v>
      </c>
      <c r="G573" s="436">
        <v>16</v>
      </c>
      <c r="H573" s="452">
        <f ca="1">G573*SUM('Key Ratios &amp; Metrics'!$F$225:$I$225)</f>
        <v>1869.2080213377044</v>
      </c>
      <c r="I573" s="437">
        <f ca="1">H573/$E$542-1</f>
        <v>-0.20459233134565769</v>
      </c>
      <c r="W573" s="408" t="s">
        <v>619</v>
      </c>
    </row>
    <row r="574" spans="1:23" x14ac:dyDescent="0.3">
      <c r="F574" s="373" t="s">
        <v>603</v>
      </c>
      <c r="G574" s="438">
        <v>22</v>
      </c>
      <c r="H574" s="453">
        <f ca="1">G574*SUM('Key Ratios &amp; Metrics'!$F$225:$I$225)</f>
        <v>2570.1610293393437</v>
      </c>
      <c r="I574" s="439">
        <f t="shared" ref="I574:I575" ca="1" si="329">H574/$E$542-1</f>
        <v>9.3685544399720655E-2</v>
      </c>
      <c r="W574" s="408" t="s">
        <v>620</v>
      </c>
    </row>
    <row r="575" spans="1:23" x14ac:dyDescent="0.3">
      <c r="F575" s="373" t="s">
        <v>638</v>
      </c>
      <c r="G575" s="440">
        <v>26</v>
      </c>
      <c r="H575" s="454">
        <f ca="1">G575*SUM('Key Ratios &amp; Metrics'!$F$225:$I$225)</f>
        <v>3037.4630346737695</v>
      </c>
      <c r="I575" s="441">
        <f t="shared" ca="1" si="329"/>
        <v>0.29253746156330607</v>
      </c>
      <c r="W575" s="408"/>
    </row>
    <row r="576" spans="1:23" x14ac:dyDescent="0.3">
      <c r="W576" s="408" t="s">
        <v>614</v>
      </c>
    </row>
    <row r="577" spans="23:23" x14ac:dyDescent="0.3">
      <c r="W577" s="408" t="s">
        <v>615</v>
      </c>
    </row>
    <row r="578" spans="23:23" x14ac:dyDescent="0.3">
      <c r="W578" s="408" t="s">
        <v>616</v>
      </c>
    </row>
    <row r="579" spans="23:23" x14ac:dyDescent="0.3">
      <c r="W579" s="408" t="s">
        <v>617</v>
      </c>
    </row>
    <row r="580" spans="23:23" x14ac:dyDescent="0.3">
      <c r="W580" s="407"/>
    </row>
    <row r="581" spans="23:23" x14ac:dyDescent="0.3">
      <c r="W581" s="407"/>
    </row>
    <row r="582" spans="23:23" x14ac:dyDescent="0.3">
      <c r="W582" s="407"/>
    </row>
    <row r="583" spans="23:23" x14ac:dyDescent="0.3">
      <c r="W583" s="407"/>
    </row>
    <row r="584" spans="23:23" x14ac:dyDescent="0.3">
      <c r="W584" s="407"/>
    </row>
    <row r="585" spans="23:23" x14ac:dyDescent="0.3">
      <c r="W585" s="407"/>
    </row>
    <row r="586" spans="23:23" x14ac:dyDescent="0.3">
      <c r="W586" s="407"/>
    </row>
    <row r="587" spans="23:23" x14ac:dyDescent="0.3">
      <c r="W587" s="407"/>
    </row>
    <row r="588" spans="23:23" x14ac:dyDescent="0.3">
      <c r="W588" s="407"/>
    </row>
    <row r="589" spans="23:23" x14ac:dyDescent="0.3">
      <c r="W589" s="407"/>
    </row>
    <row r="590" spans="23:23" x14ac:dyDescent="0.3">
      <c r="W590" s="407"/>
    </row>
    <row r="591" spans="23:23" x14ac:dyDescent="0.3">
      <c r="W591" s="407"/>
    </row>
  </sheetData>
  <mergeCells count="15">
    <mergeCell ref="H540:J540"/>
    <mergeCell ref="P1:T1"/>
    <mergeCell ref="G1:O1"/>
    <mergeCell ref="K547:K551"/>
    <mergeCell ref="K557:K561"/>
    <mergeCell ref="C557:C561"/>
    <mergeCell ref="C547:C551"/>
    <mergeCell ref="N539:P539"/>
    <mergeCell ref="N540:P540"/>
    <mergeCell ref="K539:M539"/>
    <mergeCell ref="K540:M540"/>
    <mergeCell ref="K538:M538"/>
    <mergeCell ref="N538:P538"/>
    <mergeCell ref="H538:J538"/>
    <mergeCell ref="H539:J539"/>
  </mergeCells>
  <conditionalFormatting sqref="E289">
    <cfRule type="expression" dxfId="1" priority="2">
      <formula>$D$321=1</formula>
    </cfRule>
  </conditionalFormatting>
  <conditionalFormatting sqref="E331">
    <cfRule type="expression" dxfId="0" priority="1">
      <formula>$D$321=1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E374-49ED-4D6D-82D7-8CA9279FC493}">
  <dimension ref="A1:AB249"/>
  <sheetViews>
    <sheetView showGridLines="0" tabSelected="1" zoomScale="85" zoomScaleNormal="85" workbookViewId="0">
      <selection activeCell="G213" sqref="G213"/>
    </sheetView>
  </sheetViews>
  <sheetFormatPr defaultRowHeight="14.4" outlineLevelRow="1" outlineLevelCol="1" x14ac:dyDescent="0.3"/>
  <cols>
    <col min="1" max="1" width="3.21875" customWidth="1"/>
    <col min="2" max="2" width="24.6640625" customWidth="1"/>
    <col min="3" max="3" width="4.88671875" customWidth="1"/>
    <col min="4" max="4" width="30.5546875" customWidth="1"/>
    <col min="5" max="5" width="6.5546875" customWidth="1" outlineLevel="1"/>
    <col min="6" max="12" width="11.77734375" customWidth="1" outlineLevel="1"/>
    <col min="13" max="14" width="13.33203125" customWidth="1" outlineLevel="1"/>
    <col min="15" max="15" width="8.88671875" customWidth="1" outlineLevel="1"/>
    <col min="16" max="16" width="12.33203125" bestFit="1" customWidth="1"/>
    <col min="17" max="18" width="11.33203125" bestFit="1" customWidth="1"/>
    <col min="19" max="19" width="11.77734375" bestFit="1" customWidth="1"/>
    <col min="20" max="20" width="12.44140625" bestFit="1" customWidth="1"/>
    <col min="21" max="24" width="11.33203125" bestFit="1" customWidth="1"/>
    <col min="25" max="25" width="6.6640625" bestFit="1" customWidth="1"/>
    <col min="27" max="27" width="20" bestFit="1" customWidth="1"/>
  </cols>
  <sheetData>
    <row r="1" spans="1:24" ht="15.05" customHeight="1" x14ac:dyDescent="0.3"/>
    <row r="2" spans="1:24" ht="15.05" customHeight="1" x14ac:dyDescent="0.3">
      <c r="A2" t="s">
        <v>90</v>
      </c>
      <c r="B2" s="363" t="s">
        <v>100</v>
      </c>
      <c r="C2" s="364"/>
      <c r="D2" s="365"/>
      <c r="E2" s="366" t="s">
        <v>505</v>
      </c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8"/>
    </row>
    <row r="3" spans="1:24" ht="15.05" customHeight="1" outlineLevel="1" x14ac:dyDescent="0.3">
      <c r="B3" s="4" t="s">
        <v>8</v>
      </c>
      <c r="C3" s="14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1:24" ht="15.05" customHeight="1" outlineLevel="1" x14ac:dyDescent="0.3">
      <c r="C4" s="14"/>
      <c r="D4" s="21"/>
      <c r="E4" s="21"/>
      <c r="F4" s="74">
        <f>Historicals!C2</f>
        <v>45352</v>
      </c>
      <c r="G4" s="74">
        <f>Historicals!D2</f>
        <v>45473</v>
      </c>
      <c r="H4" s="74">
        <f>Historicals!E2</f>
        <v>45565</v>
      </c>
      <c r="I4" s="74">
        <f>Historicals!F2</f>
        <v>45657</v>
      </c>
      <c r="J4" s="74">
        <f>Historicals!G2</f>
        <v>45747</v>
      </c>
      <c r="K4" s="74">
        <f>Historicals!H2</f>
        <v>45838</v>
      </c>
      <c r="L4" s="74">
        <f>Historicals!I2</f>
        <v>45930</v>
      </c>
      <c r="M4" s="74">
        <f>Historicals!J2</f>
        <v>46022</v>
      </c>
      <c r="N4" s="74">
        <f>Historicals!K2</f>
        <v>46112</v>
      </c>
      <c r="O4" s="237"/>
      <c r="P4" s="74">
        <f>F4</f>
        <v>45352</v>
      </c>
      <c r="Q4" s="74">
        <f>G4</f>
        <v>45473</v>
      </c>
      <c r="R4" s="74">
        <f>H4</f>
        <v>45565</v>
      </c>
      <c r="S4" s="74">
        <f>I4</f>
        <v>45657</v>
      </c>
      <c r="T4" s="74">
        <f>J4</f>
        <v>45747</v>
      </c>
      <c r="U4" s="74">
        <f>K4</f>
        <v>45838</v>
      </c>
      <c r="V4" s="74">
        <f>L4</f>
        <v>45930</v>
      </c>
      <c r="W4" s="74">
        <f>M4</f>
        <v>46022</v>
      </c>
      <c r="X4" s="74">
        <f>N4</f>
        <v>46112</v>
      </c>
    </row>
    <row r="5" spans="1:24" ht="15.05" customHeight="1" outlineLevel="1" x14ac:dyDescent="0.35">
      <c r="B5" s="20"/>
      <c r="C5" s="14"/>
      <c r="D5" s="21"/>
      <c r="E5" s="21"/>
      <c r="F5" s="21"/>
      <c r="G5" s="21"/>
      <c r="H5" s="21"/>
      <c r="I5" s="22"/>
      <c r="J5" s="22"/>
      <c r="K5" s="22"/>
      <c r="L5" s="22"/>
      <c r="M5" s="22"/>
      <c r="N5" s="22"/>
      <c r="O5" s="23"/>
      <c r="P5" s="24"/>
      <c r="Q5" s="19"/>
      <c r="R5" s="24"/>
      <c r="S5" s="24"/>
      <c r="T5" s="24"/>
      <c r="U5" s="24"/>
      <c r="V5" s="24"/>
      <c r="W5" s="24"/>
    </row>
    <row r="6" spans="1:24" ht="15.05" customHeight="1" outlineLevel="1" x14ac:dyDescent="0.3">
      <c r="B6" s="20"/>
      <c r="C6" s="14"/>
      <c r="D6" s="21"/>
      <c r="E6" s="21"/>
      <c r="F6" s="21"/>
      <c r="G6" s="21"/>
      <c r="H6" s="21"/>
      <c r="I6" s="17"/>
      <c r="J6" s="17"/>
      <c r="K6" s="17"/>
      <c r="L6" s="17"/>
      <c r="M6" s="17"/>
      <c r="N6" s="17"/>
      <c r="O6" s="17"/>
      <c r="P6" s="18"/>
      <c r="Q6" s="18"/>
      <c r="R6" s="18"/>
      <c r="S6" s="18"/>
      <c r="T6" s="18"/>
      <c r="U6" s="18"/>
      <c r="V6" s="18"/>
      <c r="W6" s="18"/>
    </row>
    <row r="7" spans="1:24" ht="15.05" customHeight="1" outlineLevel="1" x14ac:dyDescent="0.3">
      <c r="B7" s="238" t="s">
        <v>101</v>
      </c>
      <c r="C7" s="26" t="s">
        <v>102</v>
      </c>
      <c r="D7" s="27" t="s">
        <v>54</v>
      </c>
      <c r="E7" s="26" t="s">
        <v>102</v>
      </c>
      <c r="F7" s="28">
        <f>Historicals!C27</f>
        <v>225221</v>
      </c>
      <c r="G7" s="28">
        <f>Historicals!D27</f>
        <v>247662</v>
      </c>
      <c r="H7" s="28">
        <f>Historicals!E27</f>
        <v>325080</v>
      </c>
      <c r="I7" s="28">
        <f>Historicals!F27</f>
        <v>374469</v>
      </c>
      <c r="J7" s="28">
        <f>Historicals!G27</f>
        <v>360733</v>
      </c>
      <c r="K7" s="28">
        <f>Historicals!H27</f>
        <v>397493</v>
      </c>
      <c r="L7" s="28">
        <f>Historicals!I27</f>
        <v>451755</v>
      </c>
      <c r="M7" s="28">
        <f>Historicals!J27</f>
        <v>505416</v>
      </c>
      <c r="N7" s="28">
        <f>Historicals!K27</f>
        <v>572480</v>
      </c>
      <c r="O7" s="29" t="s">
        <v>102</v>
      </c>
      <c r="P7" s="73">
        <f t="shared" ref="P7:X7" si="0">IF(F8=0,,F7/F8)</f>
        <v>6.1946535113149154E-2</v>
      </c>
      <c r="Q7" s="73">
        <f t="shared" si="0"/>
        <v>6.5321992940344242E-2</v>
      </c>
      <c r="R7" s="73">
        <f t="shared" si="0"/>
        <v>8.1473296242448964E-2</v>
      </c>
      <c r="S7" s="73">
        <f t="shared" si="0"/>
        <v>8.731842617950844E-2</v>
      </c>
      <c r="T7" s="73">
        <f t="shared" si="0"/>
        <v>7.9035976374195308E-2</v>
      </c>
      <c r="U7" s="73">
        <f t="shared" si="0"/>
        <v>8.6768517600894463E-2</v>
      </c>
      <c r="V7" s="73">
        <f t="shared" si="0"/>
        <v>9.0381603210847192E-2</v>
      </c>
      <c r="W7" s="73">
        <f t="shared" si="0"/>
        <v>9.3257135771743868E-2</v>
      </c>
      <c r="X7" s="73">
        <f t="shared" si="0"/>
        <v>9.7179407091543657E-2</v>
      </c>
    </row>
    <row r="8" spans="1:24" ht="15.05" customHeight="1" outlineLevel="1" x14ac:dyDescent="0.35">
      <c r="B8" s="25"/>
      <c r="C8" s="31"/>
      <c r="D8" s="31" t="s">
        <v>99</v>
      </c>
      <c r="E8" s="31"/>
      <c r="F8" s="32">
        <f>Historicals!C122</f>
        <v>3635732</v>
      </c>
      <c r="G8" s="32">
        <f>Historicals!D122</f>
        <v>3791403</v>
      </c>
      <c r="H8" s="32">
        <f>Historicals!E122</f>
        <v>3990019</v>
      </c>
      <c r="I8" s="32">
        <f>Historicals!F122</f>
        <v>4288545</v>
      </c>
      <c r="J8" s="32">
        <f>Historicals!G122</f>
        <v>4564162</v>
      </c>
      <c r="K8" s="32">
        <f>Historicals!H122</f>
        <v>4581074</v>
      </c>
      <c r="L8" s="32">
        <f>Historicals!I122</f>
        <v>4998307</v>
      </c>
      <c r="M8" s="32">
        <f>Historicals!J122</f>
        <v>5419596</v>
      </c>
      <c r="N8" s="32">
        <f>Historicals!K122</f>
        <v>5890960</v>
      </c>
      <c r="O8" s="33"/>
      <c r="P8" s="34"/>
      <c r="Q8" s="34"/>
      <c r="R8" s="34"/>
      <c r="S8" s="34"/>
      <c r="T8" s="34"/>
      <c r="U8" s="34"/>
      <c r="V8" s="34"/>
      <c r="W8" s="35"/>
      <c r="X8" s="35"/>
    </row>
    <row r="9" spans="1:24" ht="15.05" customHeight="1" outlineLevel="1" x14ac:dyDescent="0.35">
      <c r="B9" s="25"/>
      <c r="C9" s="31"/>
      <c r="D9" s="31"/>
      <c r="E9" s="31"/>
      <c r="F9" s="32"/>
      <c r="G9" s="32"/>
      <c r="H9" s="32"/>
      <c r="I9" s="32"/>
      <c r="J9" s="32"/>
      <c r="K9" s="32"/>
      <c r="L9" s="32"/>
      <c r="M9" s="32"/>
      <c r="N9" s="32"/>
      <c r="O9" s="33"/>
      <c r="P9" s="34"/>
      <c r="Q9" s="34"/>
      <c r="R9" s="34"/>
      <c r="S9" s="34"/>
      <c r="T9" s="34"/>
      <c r="U9" s="34"/>
      <c r="V9" s="34"/>
      <c r="W9" s="35"/>
      <c r="X9" s="35"/>
    </row>
    <row r="10" spans="1:24" ht="15.05" customHeight="1" outlineLevel="1" x14ac:dyDescent="0.3">
      <c r="B10" s="238" t="s">
        <v>103</v>
      </c>
      <c r="C10" s="26" t="s">
        <v>102</v>
      </c>
      <c r="D10" s="27" t="s">
        <v>54</v>
      </c>
      <c r="E10" s="26" t="s">
        <v>102</v>
      </c>
      <c r="F10" s="28">
        <f>+F7</f>
        <v>225221</v>
      </c>
      <c r="G10" s="28">
        <f t="shared" ref="G10:M10" si="1">+G7</f>
        <v>247662</v>
      </c>
      <c r="H10" s="28">
        <f t="shared" si="1"/>
        <v>325080</v>
      </c>
      <c r="I10" s="28">
        <f t="shared" si="1"/>
        <v>374469</v>
      </c>
      <c r="J10" s="28">
        <f t="shared" si="1"/>
        <v>360733</v>
      </c>
      <c r="K10" s="28">
        <f t="shared" si="1"/>
        <v>397493</v>
      </c>
      <c r="L10" s="28">
        <f t="shared" si="1"/>
        <v>451755</v>
      </c>
      <c r="M10" s="28">
        <f t="shared" si="1"/>
        <v>505416</v>
      </c>
      <c r="N10" s="28">
        <f t="shared" ref="N10" si="2">+N7</f>
        <v>572480</v>
      </c>
      <c r="O10" s="29" t="s">
        <v>102</v>
      </c>
      <c r="P10" s="73">
        <f t="shared" ref="P10:X10" si="3">IF(F11=0,,F10/F11)</f>
        <v>3.8912446692586297E-2</v>
      </c>
      <c r="Q10" s="73">
        <f t="shared" si="3"/>
        <v>4.1398684533405186E-2</v>
      </c>
      <c r="R10" s="73">
        <f t="shared" si="3"/>
        <v>5.272429966112295E-2</v>
      </c>
      <c r="S10" s="73">
        <f t="shared" si="3"/>
        <v>5.5958229140795984E-2</v>
      </c>
      <c r="T10" s="73">
        <f t="shared" si="3"/>
        <v>5.0570375200100597E-2</v>
      </c>
      <c r="U10" s="73">
        <f t="shared" si="3"/>
        <v>5.6733249124008935E-2</v>
      </c>
      <c r="V10" s="73">
        <f t="shared" si="3"/>
        <v>6.1428940318654597E-2</v>
      </c>
      <c r="W10" s="73">
        <f t="shared" si="3"/>
        <v>6.3710383329232331E-2</v>
      </c>
      <c r="X10" s="73">
        <f t="shared" si="3"/>
        <v>6.6098984522483098E-2</v>
      </c>
    </row>
    <row r="11" spans="1:24" ht="15.05" customHeight="1" outlineLevel="1" x14ac:dyDescent="0.35">
      <c r="B11" s="25"/>
      <c r="C11" s="31"/>
      <c r="D11" s="31" t="s">
        <v>14</v>
      </c>
      <c r="E11" s="31"/>
      <c r="F11" s="32">
        <f>Historicals!C96</f>
        <v>5787891</v>
      </c>
      <c r="G11" s="32">
        <f>Historicals!D96</f>
        <v>5982364</v>
      </c>
      <c r="H11" s="32">
        <f>Historicals!E96</f>
        <v>6165658</v>
      </c>
      <c r="I11" s="32">
        <f>Historicals!F96</f>
        <v>6691938</v>
      </c>
      <c r="J11" s="32">
        <f>Historicals!G96</f>
        <v>7133287</v>
      </c>
      <c r="K11" s="32">
        <f>Historicals!H96</f>
        <v>7006350</v>
      </c>
      <c r="L11" s="32">
        <f>Historicals!I96</f>
        <v>7354107</v>
      </c>
      <c r="M11" s="32">
        <f>Historicals!J96</f>
        <v>7933024</v>
      </c>
      <c r="N11" s="32">
        <f>Historicals!K96</f>
        <v>8660950</v>
      </c>
      <c r="O11" s="33"/>
      <c r="P11" s="34"/>
      <c r="Q11" s="34"/>
      <c r="R11" s="34"/>
      <c r="S11" s="34"/>
      <c r="T11" s="34"/>
      <c r="U11" s="34"/>
      <c r="V11" s="34"/>
      <c r="W11" s="35"/>
      <c r="X11" s="35"/>
    </row>
    <row r="12" spans="1:24" ht="15.05" customHeight="1" outlineLevel="1" x14ac:dyDescent="0.35">
      <c r="B12" s="25"/>
      <c r="C12" s="31"/>
      <c r="D12" s="31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3"/>
      <c r="P12" s="34"/>
      <c r="Q12" s="34"/>
      <c r="R12" s="34"/>
      <c r="S12" s="34"/>
      <c r="T12" s="34"/>
      <c r="U12" s="34"/>
      <c r="V12" s="34"/>
      <c r="W12" s="35"/>
      <c r="X12" s="35"/>
    </row>
    <row r="13" spans="1:24" ht="15.05" customHeight="1" outlineLevel="1" x14ac:dyDescent="0.3">
      <c r="B13" s="238" t="s">
        <v>104</v>
      </c>
      <c r="C13" s="26" t="s">
        <v>102</v>
      </c>
      <c r="D13" s="27" t="s">
        <v>54</v>
      </c>
      <c r="E13" s="26" t="s">
        <v>102</v>
      </c>
      <c r="F13" s="28">
        <f>F10</f>
        <v>225221</v>
      </c>
      <c r="G13" s="28">
        <f t="shared" ref="G13:M13" si="4">G10</f>
        <v>247662</v>
      </c>
      <c r="H13" s="28">
        <f t="shared" si="4"/>
        <v>325080</v>
      </c>
      <c r="I13" s="28">
        <f t="shared" si="4"/>
        <v>374469</v>
      </c>
      <c r="J13" s="28">
        <f t="shared" si="4"/>
        <v>360733</v>
      </c>
      <c r="K13" s="28">
        <f t="shared" si="4"/>
        <v>397493</v>
      </c>
      <c r="L13" s="28">
        <f t="shared" si="4"/>
        <v>451755</v>
      </c>
      <c r="M13" s="28">
        <f t="shared" si="4"/>
        <v>505416</v>
      </c>
      <c r="N13" s="28">
        <f t="shared" ref="N13" si="5">N10</f>
        <v>572480</v>
      </c>
      <c r="O13" s="29" t="s">
        <v>102</v>
      </c>
      <c r="P13" s="73">
        <f t="shared" ref="P13:X13" si="6">IF(F14=0,,F13/F14)</f>
        <v>5.7676420379901588E-2</v>
      </c>
      <c r="Q13" s="73">
        <f t="shared" si="6"/>
        <v>6.2186852330142574E-2</v>
      </c>
      <c r="R13" s="73">
        <f t="shared" si="6"/>
        <v>7.9619390510479615E-2</v>
      </c>
      <c r="S13" s="73">
        <f t="shared" si="6"/>
        <v>8.7137508787189802E-2</v>
      </c>
      <c r="T13" s="73">
        <f t="shared" si="6"/>
        <v>8.0835765803436696E-2</v>
      </c>
      <c r="U13" s="73">
        <f t="shared" si="6"/>
        <v>9.0428966170553626E-2</v>
      </c>
      <c r="V13" s="73">
        <f t="shared" si="6"/>
        <v>9.775005344548085E-2</v>
      </c>
      <c r="W13" s="73">
        <f t="shared" si="6"/>
        <v>0.10308073980830118</v>
      </c>
      <c r="X13" s="73">
        <f t="shared" si="6"/>
        <v>0.10839283313736739</v>
      </c>
    </row>
    <row r="14" spans="1:24" ht="15.05" customHeight="1" outlineLevel="1" x14ac:dyDescent="0.35">
      <c r="B14" s="25"/>
      <c r="C14" s="31"/>
      <c r="D14" s="31" t="s">
        <v>105</v>
      </c>
      <c r="E14" s="31"/>
      <c r="F14" s="32">
        <f>Historicals!C153</f>
        <v>3904906</v>
      </c>
      <c r="G14" s="32">
        <f>Historicals!D153</f>
        <v>3982546</v>
      </c>
      <c r="H14" s="32">
        <f>Historicals!E153</f>
        <v>4082925</v>
      </c>
      <c r="I14" s="32">
        <f>Historicals!F153</f>
        <v>4297449</v>
      </c>
      <c r="J14" s="32">
        <f>Historicals!G153</f>
        <v>4462542</v>
      </c>
      <c r="K14" s="32">
        <f>Historicals!H153</f>
        <v>4395638</v>
      </c>
      <c r="L14" s="32">
        <f>Historicals!I153</f>
        <v>4621532</v>
      </c>
      <c r="M14" s="32">
        <f>Historicals!J153</f>
        <v>4903108</v>
      </c>
      <c r="N14" s="32">
        <f>Historicals!K153</f>
        <v>5281530</v>
      </c>
      <c r="O14" s="33"/>
      <c r="P14" s="34"/>
      <c r="Q14" s="34"/>
      <c r="R14" s="34"/>
      <c r="S14" s="34"/>
      <c r="T14" s="34"/>
      <c r="U14" s="34"/>
      <c r="V14" s="34"/>
      <c r="W14" s="35"/>
      <c r="X14" s="35"/>
    </row>
    <row r="15" spans="1:24" ht="15.05" customHeight="1" outlineLevel="1" x14ac:dyDescent="0.35">
      <c r="B15" s="25"/>
      <c r="C15" s="31"/>
      <c r="D15" s="31"/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3"/>
      <c r="P15" s="34"/>
      <c r="Q15" s="34"/>
      <c r="R15" s="34"/>
      <c r="S15" s="34"/>
      <c r="T15" s="34"/>
      <c r="U15" s="34"/>
      <c r="V15" s="34"/>
      <c r="W15" s="35"/>
      <c r="X15" s="35"/>
    </row>
    <row r="16" spans="1:24" ht="15.05" customHeight="1" outlineLevel="1" x14ac:dyDescent="0.3">
      <c r="B16" s="238" t="s">
        <v>106</v>
      </c>
      <c r="C16" s="26" t="s">
        <v>102</v>
      </c>
      <c r="D16" s="27" t="s">
        <v>107</v>
      </c>
      <c r="E16" s="26" t="s">
        <v>102</v>
      </c>
      <c r="F16" s="28">
        <f>Historicals!C137</f>
        <v>210412.89014530487</v>
      </c>
      <c r="G16" s="28">
        <f>Historicals!D137</f>
        <v>231689.46617000367</v>
      </c>
      <c r="H16" s="28">
        <f>Historicals!E137</f>
        <v>305262.31048942311</v>
      </c>
      <c r="I16" s="28">
        <f>Historicals!F137</f>
        <v>355207.2901327546</v>
      </c>
      <c r="J16" s="28">
        <f>Historicals!G137</f>
        <v>340796.59864468145</v>
      </c>
      <c r="K16" s="28">
        <f>Historicals!H137</f>
        <v>373618.55633057223</v>
      </c>
      <c r="L16" s="28">
        <f>Historicals!I137</f>
        <v>430529.68899002415</v>
      </c>
      <c r="M16" s="28">
        <f>Historicals!J137</f>
        <v>481986.57689288491</v>
      </c>
      <c r="N16" s="28">
        <f>Historicals!K137</f>
        <v>548787.99617039843</v>
      </c>
      <c r="O16" s="29" t="s">
        <v>102</v>
      </c>
      <c r="P16" s="73">
        <f t="shared" ref="P16:X16" si="7">IF(F17=0,,F16/F17)</f>
        <v>7.1433429313103772E-2</v>
      </c>
      <c r="Q16" s="73">
        <f t="shared" si="7"/>
        <v>7.675799666388472E-2</v>
      </c>
      <c r="R16" s="73">
        <f t="shared" si="7"/>
        <v>9.7524477411282451E-2</v>
      </c>
      <c r="S16" s="73">
        <f t="shared" si="7"/>
        <v>0.11051066504958035</v>
      </c>
      <c r="T16" s="73">
        <f t="shared" si="7"/>
        <v>0.10468089410161167</v>
      </c>
      <c r="U16" s="73">
        <f t="shared" si="7"/>
        <v>0.11567163035045966</v>
      </c>
      <c r="V16" s="73">
        <f t="shared" si="7"/>
        <v>0.12095999053432228</v>
      </c>
      <c r="W16" s="73">
        <f t="shared" si="7"/>
        <v>0.12936015996294226</v>
      </c>
      <c r="X16" s="73">
        <f t="shared" si="7"/>
        <v>0.13879271021291978</v>
      </c>
    </row>
    <row r="17" spans="2:28" ht="15.05" customHeight="1" outlineLevel="1" x14ac:dyDescent="0.35">
      <c r="B17" s="25"/>
      <c r="C17" s="31"/>
      <c r="D17" s="31" t="s">
        <v>108</v>
      </c>
      <c r="E17" s="31"/>
      <c r="F17" s="32">
        <f>Historicals!C146</f>
        <v>2945580.1320000002</v>
      </c>
      <c r="G17" s="32">
        <f>Historicals!D146</f>
        <v>3018440.7650000001</v>
      </c>
      <c r="H17" s="32">
        <f>Historicals!E146</f>
        <v>3130109.6770000001</v>
      </c>
      <c r="I17" s="32">
        <f>Historicals!F146</f>
        <v>3214235.3859999999</v>
      </c>
      <c r="J17" s="32">
        <f>Historicals!G146</f>
        <v>3255575.9249999998</v>
      </c>
      <c r="K17" s="32">
        <f>Historicals!H146</f>
        <v>3229993</v>
      </c>
      <c r="L17" s="32">
        <f>Historicals!I146</f>
        <v>3559273.5010000002</v>
      </c>
      <c r="M17" s="32">
        <f>Historicals!J146</f>
        <v>3725927.4960000003</v>
      </c>
      <c r="N17" s="32">
        <f>Historicals!K146</f>
        <v>3954011.6720000003</v>
      </c>
      <c r="O17" s="33"/>
      <c r="P17" s="34"/>
      <c r="Q17" s="34"/>
      <c r="R17" s="34"/>
      <c r="S17" s="34"/>
      <c r="T17" s="34"/>
      <c r="U17" s="34"/>
      <c r="V17" s="34"/>
      <c r="W17" s="35"/>
      <c r="X17" s="35"/>
    </row>
    <row r="18" spans="2:28" ht="15.05" customHeight="1" outlineLevel="1" x14ac:dyDescent="0.35">
      <c r="B18" s="25"/>
      <c r="C18" s="31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34"/>
      <c r="Q18" s="34"/>
      <c r="R18" s="34"/>
      <c r="S18" s="34"/>
      <c r="T18" s="34"/>
      <c r="U18" s="34"/>
      <c r="V18" s="34"/>
      <c r="W18" s="35"/>
      <c r="X18" s="35"/>
    </row>
    <row r="19" spans="2:28" ht="15.05" customHeight="1" outlineLevel="1" x14ac:dyDescent="0.3">
      <c r="B19" s="238" t="s">
        <v>109</v>
      </c>
      <c r="C19" s="26" t="s">
        <v>102</v>
      </c>
      <c r="D19" s="27" t="s">
        <v>40</v>
      </c>
      <c r="E19" s="26" t="s">
        <v>102</v>
      </c>
      <c r="F19" s="28">
        <f>Historicals!C6</f>
        <v>314505</v>
      </c>
      <c r="G19" s="28">
        <f>Historicals!D6</f>
        <v>358125</v>
      </c>
      <c r="H19" s="28">
        <f>Historicals!E6</f>
        <v>439345</v>
      </c>
      <c r="I19" s="28">
        <f>Historicals!F6</f>
        <v>512379</v>
      </c>
      <c r="J19" s="28">
        <f>Historicals!G6</f>
        <v>493395</v>
      </c>
      <c r="K19" s="28">
        <f>Historicals!H6</f>
        <v>547369</v>
      </c>
      <c r="L19" s="28">
        <f>Historicals!I6</f>
        <v>588543</v>
      </c>
      <c r="M19" s="28">
        <f>Historicals!J6</f>
        <v>651987</v>
      </c>
      <c r="N19" s="28">
        <f>Historicals!K6</f>
        <v>751295</v>
      </c>
      <c r="O19" s="29" t="s">
        <v>102</v>
      </c>
      <c r="P19" s="73">
        <f t="shared" ref="P19:X19" si="8">IF(F20=0,,F19/F20)</f>
        <v>0.53068115091015855</v>
      </c>
      <c r="Q19" s="73">
        <f t="shared" si="8"/>
        <v>0.53172929874834818</v>
      </c>
      <c r="R19" s="73">
        <f t="shared" si="8"/>
        <v>0.57831989806395223</v>
      </c>
      <c r="S19" s="73">
        <f t="shared" si="8"/>
        <v>0.58998504250622652</v>
      </c>
      <c r="T19" s="73">
        <f t="shared" si="8"/>
        <v>0.58789710862265776</v>
      </c>
      <c r="U19" s="73">
        <f t="shared" si="8"/>
        <v>0.58617872074294919</v>
      </c>
      <c r="V19" s="73">
        <f t="shared" si="8"/>
        <v>0.59453712327687747</v>
      </c>
      <c r="W19" s="73">
        <f t="shared" si="8"/>
        <v>0.62326090489346042</v>
      </c>
      <c r="X19" s="73">
        <f t="shared" si="8"/>
        <v>0.66245746638532832</v>
      </c>
      <c r="Y19" s="70"/>
      <c r="AB19" s="65"/>
    </row>
    <row r="20" spans="2:28" ht="15.05" customHeight="1" outlineLevel="1" x14ac:dyDescent="0.3">
      <c r="B20" s="25"/>
      <c r="C20" s="31"/>
      <c r="D20" s="31" t="str">
        <f>+D29</f>
        <v>Revenue</v>
      </c>
      <c r="E20" s="31"/>
      <c r="F20" s="32">
        <f>Historicals!C4</f>
        <v>592644</v>
      </c>
      <c r="G20" s="32">
        <f>Historicals!D4</f>
        <v>673510</v>
      </c>
      <c r="H20" s="32">
        <f>Historicals!E4</f>
        <v>759692</v>
      </c>
      <c r="I20" s="32">
        <f>Historicals!F4</f>
        <v>868461</v>
      </c>
      <c r="J20" s="32">
        <f>Historicals!G4</f>
        <v>839254</v>
      </c>
      <c r="K20" s="32">
        <f>Historicals!H4</f>
        <v>933792</v>
      </c>
      <c r="L20" s="32">
        <f>Historicals!I4</f>
        <v>989918</v>
      </c>
      <c r="M20" s="32">
        <f>Historicals!J4</f>
        <v>1046090</v>
      </c>
      <c r="N20" s="32">
        <f>Historicals!K4</f>
        <v>1134103</v>
      </c>
      <c r="O20" s="33"/>
      <c r="P20" s="34"/>
      <c r="Q20" s="34"/>
      <c r="R20" s="34"/>
      <c r="S20" s="34"/>
      <c r="T20" s="34"/>
      <c r="U20" s="34"/>
      <c r="V20" s="34"/>
      <c r="W20" s="34"/>
      <c r="X20" s="34"/>
    </row>
    <row r="21" spans="2:28" ht="15.05" customHeight="1" outlineLevel="1" x14ac:dyDescent="0.35">
      <c r="B21" s="25"/>
      <c r="C21" s="31"/>
      <c r="D21" s="31"/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3"/>
      <c r="P21" s="34"/>
      <c r="Q21" s="34"/>
      <c r="R21" s="34"/>
      <c r="S21" s="34"/>
      <c r="T21" s="34"/>
      <c r="U21" s="34"/>
      <c r="V21" s="34"/>
      <c r="W21" s="35"/>
      <c r="X21" s="35"/>
    </row>
    <row r="22" spans="2:28" ht="15.05" customHeight="1" outlineLevel="1" x14ac:dyDescent="0.3">
      <c r="B22" s="238" t="s">
        <v>490</v>
      </c>
      <c r="C22" s="26" t="s">
        <v>102</v>
      </c>
      <c r="D22" s="27" t="s">
        <v>220</v>
      </c>
      <c r="E22" s="26" t="s">
        <v>102</v>
      </c>
      <c r="F22" s="28">
        <f>Historicals!C9*-1</f>
        <v>46109</v>
      </c>
      <c r="G22" s="28">
        <f>Historicals!D9*-1</f>
        <v>48058</v>
      </c>
      <c r="H22" s="28">
        <f>Historicals!E9*-1</f>
        <v>52783</v>
      </c>
      <c r="I22" s="28">
        <f>Historicals!F9*-1</f>
        <v>57232</v>
      </c>
      <c r="J22" s="28">
        <f>Historicals!G9*-1</f>
        <v>56547</v>
      </c>
      <c r="K22" s="28">
        <f>Historicals!H9*-1</f>
        <v>61280</v>
      </c>
      <c r="L22" s="28">
        <f>Historicals!I9*-1</f>
        <v>63743</v>
      </c>
      <c r="M22" s="28">
        <f>Historicals!J9*-1</f>
        <v>64857</v>
      </c>
      <c r="N22" s="28">
        <f>Historicals!K9*-1</f>
        <v>67757</v>
      </c>
      <c r="O22" s="29" t="s">
        <v>102</v>
      </c>
      <c r="P22" s="73">
        <f t="shared" ref="P22:X22" si="9">IF(F23=0,,F22/F23)</f>
        <v>7.7802188160177102E-2</v>
      </c>
      <c r="Q22" s="73">
        <f t="shared" si="9"/>
        <v>7.1354545589523546E-2</v>
      </c>
      <c r="R22" s="73">
        <f t="shared" si="9"/>
        <v>6.9479473260215988E-2</v>
      </c>
      <c r="S22" s="73">
        <f t="shared" si="9"/>
        <v>6.5900483729263604E-2</v>
      </c>
      <c r="T22" s="73">
        <f t="shared" si="9"/>
        <v>6.7377694952898651E-2</v>
      </c>
      <c r="U22" s="73">
        <f t="shared" si="9"/>
        <v>6.5624892909770055E-2</v>
      </c>
      <c r="V22" s="73">
        <f t="shared" si="9"/>
        <v>6.4392202182402991E-2</v>
      </c>
      <c r="W22" s="73">
        <f t="shared" si="9"/>
        <v>6.1999445554397806E-2</v>
      </c>
      <c r="X22" s="73">
        <f t="shared" si="9"/>
        <v>5.9745014341730865E-2</v>
      </c>
    </row>
    <row r="23" spans="2:28" ht="15.05" customHeight="1" outlineLevel="1" x14ac:dyDescent="0.35">
      <c r="B23" s="25"/>
      <c r="C23" s="31"/>
      <c r="D23" s="31" t="str">
        <f>+D20</f>
        <v>Revenue</v>
      </c>
      <c r="E23" s="31"/>
      <c r="F23" s="32">
        <f>F20</f>
        <v>592644</v>
      </c>
      <c r="G23" s="32">
        <f t="shared" ref="G23:M23" si="10">G20</f>
        <v>673510</v>
      </c>
      <c r="H23" s="32">
        <f t="shared" si="10"/>
        <v>759692</v>
      </c>
      <c r="I23" s="32">
        <f t="shared" si="10"/>
        <v>868461</v>
      </c>
      <c r="J23" s="32">
        <f t="shared" si="10"/>
        <v>839254</v>
      </c>
      <c r="K23" s="32">
        <f t="shared" si="10"/>
        <v>933792</v>
      </c>
      <c r="L23" s="32">
        <f t="shared" si="10"/>
        <v>989918</v>
      </c>
      <c r="M23" s="32">
        <f t="shared" si="10"/>
        <v>1046090</v>
      </c>
      <c r="N23" s="32">
        <f t="shared" ref="N23" si="11">N20</f>
        <v>1134103</v>
      </c>
      <c r="O23" s="33"/>
      <c r="P23" s="34"/>
      <c r="Q23" s="34"/>
      <c r="R23" s="34"/>
      <c r="S23" s="34"/>
      <c r="T23" s="34"/>
      <c r="U23" s="34"/>
      <c r="V23" s="34"/>
      <c r="W23" s="35"/>
      <c r="X23" s="35"/>
    </row>
    <row r="24" spans="2:28" ht="15.05" customHeight="1" outlineLevel="1" x14ac:dyDescent="0.35">
      <c r="B24" s="25"/>
      <c r="C24" s="31"/>
      <c r="D24" s="31"/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3"/>
      <c r="P24" s="34"/>
      <c r="Q24" s="34"/>
      <c r="R24" s="34"/>
      <c r="S24" s="34"/>
      <c r="T24" s="34"/>
      <c r="U24" s="34"/>
      <c r="V24" s="34"/>
      <c r="W24" s="35"/>
      <c r="X24" s="35"/>
    </row>
    <row r="25" spans="2:28" ht="15.05" customHeight="1" outlineLevel="1" x14ac:dyDescent="0.3">
      <c r="B25" s="238" t="s">
        <v>498</v>
      </c>
      <c r="C25" s="26" t="s">
        <v>102</v>
      </c>
      <c r="D25" s="27" t="s">
        <v>131</v>
      </c>
      <c r="E25" s="26" t="s">
        <v>102</v>
      </c>
      <c r="F25" s="28">
        <f>Historicals!C150*-1</f>
        <v>1698196</v>
      </c>
      <c r="G25" s="28">
        <f>Historicals!D150*-1</f>
        <v>1799127</v>
      </c>
      <c r="H25" s="28">
        <f>Historicals!E150*-1</f>
        <v>1886781</v>
      </c>
      <c r="I25" s="28">
        <f>Historicals!F150*-1</f>
        <v>2127627</v>
      </c>
      <c r="J25" s="28">
        <f>Historicals!G150*-1</f>
        <v>2394804</v>
      </c>
      <c r="K25" s="28">
        <f>Historicals!H150*-1</f>
        <v>2364524</v>
      </c>
      <c r="L25" s="28">
        <f>Historicals!I150*-1</f>
        <v>2470759</v>
      </c>
      <c r="M25" s="28">
        <f>Historicals!J150*-1</f>
        <v>2767856</v>
      </c>
      <c r="N25" s="28">
        <f>Historicals!K150*-1</f>
        <v>3035637</v>
      </c>
      <c r="O25" s="29" t="s">
        <v>102</v>
      </c>
      <c r="P25" s="73">
        <f t="shared" ref="P25:X25" si="12">IF(F26=0,,F25/F26)</f>
        <v>2.8654571715903647</v>
      </c>
      <c r="Q25" s="73">
        <f t="shared" si="12"/>
        <v>2.6712699143294087</v>
      </c>
      <c r="R25" s="73">
        <f t="shared" si="12"/>
        <v>2.4836130958335745</v>
      </c>
      <c r="S25" s="73">
        <f t="shared" si="12"/>
        <v>2.449882032699223</v>
      </c>
      <c r="T25" s="73">
        <f t="shared" si="12"/>
        <v>2.8534913149058569</v>
      </c>
      <c r="U25" s="73">
        <f t="shared" si="12"/>
        <v>2.5321741886844178</v>
      </c>
      <c r="V25" s="73">
        <f t="shared" si="12"/>
        <v>2.495922894623595</v>
      </c>
      <c r="W25" s="73">
        <f t="shared" si="12"/>
        <v>2.6459061839803457</v>
      </c>
      <c r="X25" s="73">
        <f t="shared" si="12"/>
        <v>2.6766854509687392</v>
      </c>
    </row>
    <row r="26" spans="2:28" ht="15.05" customHeight="1" outlineLevel="1" x14ac:dyDescent="0.35">
      <c r="B26" s="25"/>
      <c r="C26" s="31"/>
      <c r="D26" s="31" t="str">
        <f>+D23</f>
        <v>Revenue</v>
      </c>
      <c r="E26" s="31"/>
      <c r="F26" s="32">
        <f>F23</f>
        <v>592644</v>
      </c>
      <c r="G26" s="32">
        <f t="shared" ref="G26:M26" si="13">G23</f>
        <v>673510</v>
      </c>
      <c r="H26" s="32">
        <f t="shared" si="13"/>
        <v>759692</v>
      </c>
      <c r="I26" s="32">
        <f t="shared" si="13"/>
        <v>868461</v>
      </c>
      <c r="J26" s="32">
        <f t="shared" si="13"/>
        <v>839254</v>
      </c>
      <c r="K26" s="32">
        <f t="shared" si="13"/>
        <v>933792</v>
      </c>
      <c r="L26" s="32">
        <f t="shared" si="13"/>
        <v>989918</v>
      </c>
      <c r="M26" s="32">
        <f t="shared" si="13"/>
        <v>1046090</v>
      </c>
      <c r="N26" s="32">
        <f t="shared" ref="N26" si="14">N23</f>
        <v>1134103</v>
      </c>
      <c r="O26" s="33"/>
      <c r="P26" s="34"/>
      <c r="Q26" s="34"/>
      <c r="R26" s="34"/>
      <c r="S26" s="34"/>
      <c r="T26" s="34"/>
      <c r="U26" s="34"/>
      <c r="V26" s="34"/>
      <c r="W26" s="35"/>
      <c r="X26" s="35"/>
    </row>
    <row r="27" spans="2:28" ht="15.05" customHeight="1" outlineLevel="1" x14ac:dyDescent="0.35">
      <c r="B27" s="25"/>
      <c r="C27" s="31"/>
      <c r="D27" s="31"/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3"/>
      <c r="P27" s="34"/>
      <c r="Q27" s="34"/>
      <c r="R27" s="34"/>
      <c r="S27" s="34"/>
      <c r="T27" s="34"/>
      <c r="U27" s="34"/>
      <c r="V27" s="34"/>
      <c r="W27" s="35"/>
      <c r="X27" s="35"/>
    </row>
    <row r="28" spans="2:28" ht="15.05" customHeight="1" outlineLevel="1" x14ac:dyDescent="0.3">
      <c r="B28" s="238" t="s">
        <v>487</v>
      </c>
      <c r="C28" s="26" t="s">
        <v>102</v>
      </c>
      <c r="D28" s="27" t="s">
        <v>488</v>
      </c>
      <c r="E28" s="26" t="s">
        <v>102</v>
      </c>
      <c r="F28" s="28">
        <f>Historicals!C162</f>
        <v>172740</v>
      </c>
      <c r="G28" s="28">
        <f>Historicals!D162</f>
        <v>191953</v>
      </c>
      <c r="H28" s="28">
        <f>Historicals!E162</f>
        <v>328376</v>
      </c>
      <c r="I28" s="28">
        <f>Historicals!F162</f>
        <v>156305</v>
      </c>
      <c r="J28" s="28">
        <f>Historicals!G162</f>
        <v>158786</v>
      </c>
      <c r="K28" s="28">
        <f>Historicals!H162</f>
        <v>314173</v>
      </c>
      <c r="L28" s="28">
        <f>Historicals!I162</f>
        <v>425043</v>
      </c>
      <c r="M28" s="28">
        <f>Historicals!J162</f>
        <v>309238</v>
      </c>
      <c r="N28" s="28">
        <f>Historicals!K162</f>
        <v>509742</v>
      </c>
      <c r="O28" s="29" t="s">
        <v>102</v>
      </c>
      <c r="P28" s="73">
        <f t="shared" ref="P28:X28" si="15">IF(F29=0,,F28/F29)</f>
        <v>0.2914734646769393</v>
      </c>
      <c r="Q28" s="73">
        <f t="shared" si="15"/>
        <v>0.28500393461121587</v>
      </c>
      <c r="R28" s="73">
        <f t="shared" si="15"/>
        <v>0.43224885874801894</v>
      </c>
      <c r="S28" s="73">
        <f t="shared" si="15"/>
        <v>0.1799792967099271</v>
      </c>
      <c r="T28" s="73">
        <f t="shared" si="15"/>
        <v>0.18919897909333766</v>
      </c>
      <c r="U28" s="73">
        <f t="shared" si="15"/>
        <v>0.33644858812240841</v>
      </c>
      <c r="V28" s="73">
        <f t="shared" si="15"/>
        <v>0.42937192777583599</v>
      </c>
      <c r="W28" s="73">
        <f t="shared" si="15"/>
        <v>0.29561318815780668</v>
      </c>
      <c r="X28" s="73">
        <f t="shared" si="15"/>
        <v>0.44946711189371691</v>
      </c>
      <c r="Y28" s="3"/>
      <c r="Z28" s="3"/>
    </row>
    <row r="29" spans="2:28" ht="15.05" customHeight="1" outlineLevel="1" x14ac:dyDescent="0.35">
      <c r="B29" s="25"/>
      <c r="C29" s="31"/>
      <c r="D29" s="31" t="str">
        <f>+D35</f>
        <v>Revenue</v>
      </c>
      <c r="E29" s="31"/>
      <c r="F29" s="32">
        <f>F26</f>
        <v>592644</v>
      </c>
      <c r="G29" s="32">
        <f t="shared" ref="G29:N29" si="16">G26</f>
        <v>673510</v>
      </c>
      <c r="H29" s="32">
        <f t="shared" si="16"/>
        <v>759692</v>
      </c>
      <c r="I29" s="32">
        <f t="shared" si="16"/>
        <v>868461</v>
      </c>
      <c r="J29" s="32">
        <f t="shared" si="16"/>
        <v>839254</v>
      </c>
      <c r="K29" s="32">
        <f t="shared" si="16"/>
        <v>933792</v>
      </c>
      <c r="L29" s="32">
        <f t="shared" si="16"/>
        <v>989918</v>
      </c>
      <c r="M29" s="32">
        <f t="shared" si="16"/>
        <v>1046090</v>
      </c>
      <c r="N29" s="32">
        <f t="shared" si="16"/>
        <v>1134103</v>
      </c>
      <c r="O29" s="33"/>
      <c r="P29" s="36"/>
      <c r="Q29" s="36"/>
      <c r="R29" s="36"/>
      <c r="S29" s="36"/>
      <c r="T29" s="36"/>
      <c r="U29" s="36"/>
      <c r="V29" s="36"/>
      <c r="W29" s="37"/>
      <c r="X29" s="37"/>
    </row>
    <row r="30" spans="2:28" ht="15.05" customHeight="1" outlineLevel="1" x14ac:dyDescent="0.35">
      <c r="B30" s="25"/>
      <c r="C30" s="31"/>
      <c r="D30" s="31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6"/>
      <c r="Q30" s="36"/>
      <c r="R30" s="36"/>
      <c r="S30" s="36"/>
      <c r="T30" s="36"/>
      <c r="U30" s="36"/>
      <c r="V30" s="36"/>
      <c r="W30" s="37"/>
      <c r="X30" s="37"/>
    </row>
    <row r="31" spans="2:28" ht="15.05" customHeight="1" outlineLevel="1" x14ac:dyDescent="0.3">
      <c r="B31" s="25" t="s">
        <v>112</v>
      </c>
      <c r="C31" s="26" t="s">
        <v>102</v>
      </c>
      <c r="D31" s="27" t="s">
        <v>113</v>
      </c>
      <c r="E31" s="26" t="s">
        <v>102</v>
      </c>
      <c r="F31" s="28">
        <f>Historicals!C41</f>
        <v>159023</v>
      </c>
      <c r="G31" s="28">
        <f>Historicals!D41</f>
        <v>165166</v>
      </c>
      <c r="H31" s="28">
        <f>Historicals!E41</f>
        <v>168229</v>
      </c>
      <c r="I31" s="28">
        <f>Historicals!F41</f>
        <v>170378</v>
      </c>
      <c r="J31" s="28">
        <f>Historicals!G41</f>
        <v>175139</v>
      </c>
      <c r="K31" s="28">
        <f>Historicals!H41</f>
        <v>188058</v>
      </c>
      <c r="L31" s="28">
        <f>Historicals!I41</f>
        <v>162787</v>
      </c>
      <c r="M31" s="28">
        <f>Historicals!J41</f>
        <v>162112</v>
      </c>
      <c r="N31" s="28">
        <f>Historicals!K41</f>
        <v>165450</v>
      </c>
      <c r="O31" s="29" t="s">
        <v>102</v>
      </c>
      <c r="P31" s="30">
        <f t="shared" ref="P31:X31" si="17">IF(F32=0,,F31/F32)</f>
        <v>0.26832803504296004</v>
      </c>
      <c r="Q31" s="30">
        <f t="shared" si="17"/>
        <v>0.24523169663405145</v>
      </c>
      <c r="R31" s="30">
        <f t="shared" si="17"/>
        <v>0.22144369033766315</v>
      </c>
      <c r="S31" s="30">
        <f t="shared" si="17"/>
        <v>0.19618382402894316</v>
      </c>
      <c r="T31" s="30">
        <f t="shared" si="17"/>
        <v>0.20868414091562268</v>
      </c>
      <c r="U31" s="30">
        <f t="shared" si="17"/>
        <v>0.20139174462835407</v>
      </c>
      <c r="V31" s="30">
        <f t="shared" si="17"/>
        <v>0.16444493382280148</v>
      </c>
      <c r="W31" s="30">
        <f t="shared" si="17"/>
        <v>0.1549694576948446</v>
      </c>
      <c r="X31" s="30">
        <f t="shared" si="17"/>
        <v>0.14588622021103903</v>
      </c>
    </row>
    <row r="32" spans="2:28" ht="15.05" customHeight="1" outlineLevel="1" x14ac:dyDescent="0.35">
      <c r="B32" s="25"/>
      <c r="C32" s="31"/>
      <c r="D32" s="31" t="str">
        <f>+D20</f>
        <v>Revenue</v>
      </c>
      <c r="E32" s="31"/>
      <c r="F32" s="32">
        <f>F29</f>
        <v>592644</v>
      </c>
      <c r="G32" s="32">
        <f>G29</f>
        <v>673510</v>
      </c>
      <c r="H32" s="32">
        <f>H29</f>
        <v>759692</v>
      </c>
      <c r="I32" s="32">
        <f>I29</f>
        <v>868461</v>
      </c>
      <c r="J32" s="32">
        <f>J29</f>
        <v>839254</v>
      </c>
      <c r="K32" s="32">
        <f>K29</f>
        <v>933792</v>
      </c>
      <c r="L32" s="32">
        <f>L29</f>
        <v>989918</v>
      </c>
      <c r="M32" s="32">
        <f>M29</f>
        <v>1046090</v>
      </c>
      <c r="N32" s="32">
        <f>N29</f>
        <v>1134103</v>
      </c>
      <c r="O32" s="33"/>
      <c r="P32" s="34"/>
      <c r="Q32" s="34"/>
      <c r="R32" s="34"/>
      <c r="S32" s="34"/>
      <c r="T32" s="34"/>
      <c r="U32" s="34"/>
      <c r="V32" s="34"/>
      <c r="W32" s="35"/>
      <c r="X32" s="35"/>
    </row>
    <row r="33" spans="2:24" ht="15.05" customHeight="1" outlineLevel="1" x14ac:dyDescent="0.35">
      <c r="B33" s="25"/>
      <c r="C33" s="31"/>
      <c r="D33" s="31"/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34"/>
      <c r="Q33" s="34"/>
      <c r="R33" s="34"/>
      <c r="S33" s="34"/>
      <c r="T33" s="34"/>
      <c r="U33" s="34"/>
      <c r="V33" s="34"/>
      <c r="W33" s="35"/>
      <c r="X33" s="35"/>
    </row>
    <row r="34" spans="2:24" ht="15.05" customHeight="1" outlineLevel="1" x14ac:dyDescent="0.3">
      <c r="B34" s="238" t="s">
        <v>464</v>
      </c>
      <c r="C34" s="26" t="s">
        <v>102</v>
      </c>
      <c r="D34" s="27" t="s">
        <v>115</v>
      </c>
      <c r="E34" s="26" t="s">
        <v>102</v>
      </c>
      <c r="F34" s="28">
        <f>Historicals!C15</f>
        <v>249018</v>
      </c>
      <c r="G34" s="28">
        <f>Historicals!D15</f>
        <v>286556</v>
      </c>
      <c r="H34" s="28">
        <f>Historicals!E15</f>
        <v>360766</v>
      </c>
      <c r="I34" s="28">
        <f>Historicals!F15</f>
        <v>425713</v>
      </c>
      <c r="J34" s="28">
        <f>Historicals!G15</f>
        <v>407081</v>
      </c>
      <c r="K34" s="28">
        <f>Historicals!H15</f>
        <v>463423</v>
      </c>
      <c r="L34" s="28">
        <f>Historicals!I15</f>
        <v>500685</v>
      </c>
      <c r="M34" s="28">
        <f>Historicals!J15</f>
        <v>564903</v>
      </c>
      <c r="N34" s="28">
        <f>Historicals!K15</f>
        <v>658966</v>
      </c>
      <c r="O34" s="29" t="s">
        <v>102</v>
      </c>
      <c r="P34" s="73">
        <f t="shared" ref="P34:X34" si="18">IF(F35=0,,F34/F35)</f>
        <v>0.42018142426144534</v>
      </c>
      <c r="Q34" s="73">
        <f t="shared" si="18"/>
        <v>0.42546658549984412</v>
      </c>
      <c r="R34" s="73">
        <f t="shared" si="18"/>
        <v>0.47488455847896255</v>
      </c>
      <c r="S34" s="73">
        <f t="shared" si="18"/>
        <v>0.49019242084561082</v>
      </c>
      <c r="T34" s="73">
        <f t="shared" si="18"/>
        <v>0.48505100958708569</v>
      </c>
      <c r="U34" s="73">
        <f t="shared" si="18"/>
        <v>0.49628075631403995</v>
      </c>
      <c r="V34" s="73">
        <f t="shared" si="18"/>
        <v>0.50578431748892327</v>
      </c>
      <c r="W34" s="73">
        <f t="shared" si="18"/>
        <v>0.54001376554598557</v>
      </c>
      <c r="X34" s="73">
        <f t="shared" si="18"/>
        <v>0.58104598964997012</v>
      </c>
    </row>
    <row r="35" spans="2:24" ht="15.05" customHeight="1" outlineLevel="1" x14ac:dyDescent="0.35">
      <c r="B35" s="25"/>
      <c r="C35" s="31"/>
      <c r="D35" s="31" t="str">
        <f>+D41</f>
        <v>Revenue</v>
      </c>
      <c r="E35" s="31"/>
      <c r="F35" s="32">
        <f>F32</f>
        <v>592644</v>
      </c>
      <c r="G35" s="32">
        <f t="shared" ref="G35:N35" si="19">G32</f>
        <v>673510</v>
      </c>
      <c r="H35" s="32">
        <f t="shared" si="19"/>
        <v>759692</v>
      </c>
      <c r="I35" s="32">
        <f t="shared" si="19"/>
        <v>868461</v>
      </c>
      <c r="J35" s="32">
        <f t="shared" si="19"/>
        <v>839254</v>
      </c>
      <c r="K35" s="32">
        <f t="shared" si="19"/>
        <v>933792</v>
      </c>
      <c r="L35" s="32">
        <f t="shared" si="19"/>
        <v>989918</v>
      </c>
      <c r="M35" s="32">
        <f t="shared" si="19"/>
        <v>1046090</v>
      </c>
      <c r="N35" s="32">
        <f t="shared" si="19"/>
        <v>1134103</v>
      </c>
      <c r="O35" s="33"/>
      <c r="P35" s="36"/>
      <c r="Q35" s="36"/>
      <c r="R35" s="36"/>
      <c r="S35" s="36"/>
      <c r="T35" s="36"/>
      <c r="U35" s="36"/>
      <c r="V35" s="36"/>
      <c r="W35" s="37"/>
      <c r="X35" s="37"/>
    </row>
    <row r="36" spans="2:24" ht="15.05" customHeight="1" outlineLevel="1" x14ac:dyDescent="0.35">
      <c r="B36" s="25"/>
      <c r="C36" s="31"/>
      <c r="D36" s="31"/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3"/>
      <c r="P36" s="36"/>
      <c r="Q36" s="36"/>
      <c r="R36" s="36"/>
      <c r="S36" s="36"/>
      <c r="T36" s="36"/>
      <c r="U36" s="36"/>
      <c r="V36" s="36"/>
      <c r="W36" s="37"/>
      <c r="X36" s="37"/>
    </row>
    <row r="37" spans="2:24" ht="15.05" customHeight="1" outlineLevel="1" x14ac:dyDescent="0.3">
      <c r="B37" s="238" t="s">
        <v>496</v>
      </c>
      <c r="C37" s="26" t="s">
        <v>102</v>
      </c>
      <c r="D37" s="27" t="s">
        <v>497</v>
      </c>
      <c r="E37" s="26" t="s">
        <v>102</v>
      </c>
      <c r="F37" s="28">
        <f>'Key Ratios &amp; Metrics'!F79-'Key Ratios &amp; Metrics'!F119</f>
        <v>720135.86800000002</v>
      </c>
      <c r="G37" s="28">
        <f>'Key Ratios &amp; Metrics'!G79-'Key Ratios &amp; Metrics'!G119</f>
        <v>801707.23499999999</v>
      </c>
      <c r="H37" s="28">
        <f>'Key Ratios &amp; Metrics'!H79-'Key Ratios &amp; Metrics'!H119</f>
        <v>891812.32299999997</v>
      </c>
      <c r="I37" s="28">
        <f>'Key Ratios &amp; Metrics'!I79-'Key Ratios &amp; Metrics'!I119</f>
        <v>1109340.6140000001</v>
      </c>
      <c r="J37" s="28">
        <f>'Key Ratios &amp; Metrics'!J79-'Key Ratios &amp; Metrics'!J119</f>
        <v>1346048.075</v>
      </c>
      <c r="K37" s="28">
        <f>'Key Ratios &amp; Metrics'!K79-'Key Ratios &amp; Metrics'!K119</f>
        <v>1386639</v>
      </c>
      <c r="L37" s="28">
        <f>'Key Ratios &amp; Metrics'!L79-'Key Ratios &amp; Metrics'!L119</f>
        <v>1476304.4989999998</v>
      </c>
      <c r="M37" s="28">
        <f>'Key Ratios &amp; Metrics'!M79-'Key Ratios &amp; Metrics'!M119</f>
        <v>1734867.504</v>
      </c>
      <c r="N37" s="28">
        <f>'Key Ratios &amp; Metrics'!N79-'Key Ratios &amp; Metrics'!N119</f>
        <v>1978377.328</v>
      </c>
      <c r="O37" s="29" t="s">
        <v>102</v>
      </c>
      <c r="P37" s="73">
        <f t="shared" ref="P37:X37" si="20">IF(F38=0,,F37/F38)</f>
        <v>1.2151238652546892</v>
      </c>
      <c r="Q37" s="73">
        <f t="shared" si="20"/>
        <v>1.1903419919526064</v>
      </c>
      <c r="R37" s="73">
        <f t="shared" si="20"/>
        <v>1.1739130107991134</v>
      </c>
      <c r="S37" s="73">
        <f t="shared" si="20"/>
        <v>1.2773637664788633</v>
      </c>
      <c r="T37" s="73">
        <f t="shared" si="20"/>
        <v>1.6038625672323277</v>
      </c>
      <c r="U37" s="73">
        <f t="shared" si="20"/>
        <v>1.4849548935951475</v>
      </c>
      <c r="V37" s="73">
        <f t="shared" si="20"/>
        <v>1.4913401908036825</v>
      </c>
      <c r="W37" s="73">
        <f t="shared" si="20"/>
        <v>1.6584304447992047</v>
      </c>
      <c r="X37" s="73">
        <f t="shared" si="20"/>
        <v>1.7444423725181928</v>
      </c>
    </row>
    <row r="38" spans="2:24" ht="15.05" customHeight="1" outlineLevel="1" x14ac:dyDescent="0.35">
      <c r="B38" s="25"/>
      <c r="C38" s="31"/>
      <c r="D38" s="31" t="str">
        <f>+D35</f>
        <v>Revenue</v>
      </c>
      <c r="E38" s="31"/>
      <c r="F38" s="32">
        <f>F35</f>
        <v>592644</v>
      </c>
      <c r="G38" s="32">
        <f>G35</f>
        <v>673510</v>
      </c>
      <c r="H38" s="32">
        <f>H35</f>
        <v>759692</v>
      </c>
      <c r="I38" s="32">
        <f>I35</f>
        <v>868461</v>
      </c>
      <c r="J38" s="32">
        <f>J35</f>
        <v>839254</v>
      </c>
      <c r="K38" s="32">
        <f>K35</f>
        <v>933792</v>
      </c>
      <c r="L38" s="32">
        <f>L35</f>
        <v>989918</v>
      </c>
      <c r="M38" s="32">
        <f>M35</f>
        <v>1046090</v>
      </c>
      <c r="N38" s="32">
        <f>N35</f>
        <v>1134103</v>
      </c>
      <c r="O38" s="33"/>
      <c r="P38" s="34"/>
      <c r="Q38" s="34"/>
      <c r="R38" s="34"/>
      <c r="S38" s="34"/>
      <c r="T38" s="34"/>
      <c r="U38" s="34"/>
      <c r="V38" s="34"/>
      <c r="W38" s="35"/>
      <c r="X38" s="35"/>
    </row>
    <row r="39" spans="2:24" ht="15.05" customHeight="1" outlineLevel="1" x14ac:dyDescent="0.35">
      <c r="B39" s="25"/>
      <c r="C39" s="31"/>
      <c r="D39" s="31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3"/>
      <c r="P39" s="34"/>
      <c r="Q39" s="34"/>
      <c r="R39" s="34"/>
      <c r="S39" s="34"/>
      <c r="T39" s="34"/>
      <c r="U39" s="34"/>
      <c r="V39" s="34"/>
      <c r="W39" s="35"/>
      <c r="X39" s="35"/>
    </row>
    <row r="40" spans="2:24" ht="15.05" customHeight="1" outlineLevel="1" x14ac:dyDescent="0.3">
      <c r="B40" s="238" t="s">
        <v>116</v>
      </c>
      <c r="C40" s="26" t="s">
        <v>102</v>
      </c>
      <c r="D40" s="27" t="s">
        <v>117</v>
      </c>
      <c r="E40" s="26" t="s">
        <v>102</v>
      </c>
      <c r="F40" s="28">
        <f>Historicals!C23</f>
        <v>266543</v>
      </c>
      <c r="G40" s="28">
        <f>Historicals!D23</f>
        <v>306311</v>
      </c>
      <c r="H40" s="28">
        <f>Historicals!E23</f>
        <v>384187</v>
      </c>
      <c r="I40" s="28">
        <f>Historicals!F23</f>
        <v>448798</v>
      </c>
      <c r="J40" s="28">
        <f>Historicals!G23</f>
        <v>430895</v>
      </c>
      <c r="K40" s="28">
        <f>Historicals!H23</f>
        <v>493036</v>
      </c>
      <c r="L40" s="28">
        <f>Historicals!I23</f>
        <v>525369</v>
      </c>
      <c r="M40" s="28">
        <f>Historicals!J23</f>
        <v>592363</v>
      </c>
      <c r="N40" s="28">
        <f>Historicals!K23</f>
        <v>687800</v>
      </c>
      <c r="O40" s="29" t="s">
        <v>102</v>
      </c>
      <c r="P40" s="73">
        <f t="shared" ref="P40:X40" si="21">IF(F41=0,,F40/F41)</f>
        <v>0.44975229648827963</v>
      </c>
      <c r="Q40" s="73">
        <f t="shared" si="21"/>
        <v>0.45479799854493624</v>
      </c>
      <c r="R40" s="73">
        <f t="shared" si="21"/>
        <v>0.50571415784291529</v>
      </c>
      <c r="S40" s="73">
        <f t="shared" si="21"/>
        <v>0.51677392536913003</v>
      </c>
      <c r="T40" s="73">
        <f t="shared" si="21"/>
        <v>0.51342620946697903</v>
      </c>
      <c r="U40" s="73">
        <f t="shared" si="21"/>
        <v>0.52799338610739865</v>
      </c>
      <c r="V40" s="73">
        <f t="shared" si="21"/>
        <v>0.53071971617851177</v>
      </c>
      <c r="W40" s="73">
        <f t="shared" si="21"/>
        <v>0.56626389698783086</v>
      </c>
      <c r="X40" s="73">
        <f t="shared" si="21"/>
        <v>0.60647048813026683</v>
      </c>
    </row>
    <row r="41" spans="2:24" ht="15.05" customHeight="1" outlineLevel="1" x14ac:dyDescent="0.35">
      <c r="B41" s="25"/>
      <c r="C41" s="31"/>
      <c r="D41" s="31" t="str">
        <f>+D47</f>
        <v>Revenue</v>
      </c>
      <c r="E41" s="31"/>
      <c r="F41" s="32">
        <f>F38</f>
        <v>592644</v>
      </c>
      <c r="G41" s="32">
        <f>G38</f>
        <v>673510</v>
      </c>
      <c r="H41" s="32">
        <f>H38</f>
        <v>759692</v>
      </c>
      <c r="I41" s="32">
        <f>I38</f>
        <v>868461</v>
      </c>
      <c r="J41" s="32">
        <f>J38</f>
        <v>839254</v>
      </c>
      <c r="K41" s="32">
        <f>K38</f>
        <v>933792</v>
      </c>
      <c r="L41" s="32">
        <f>L38</f>
        <v>989918</v>
      </c>
      <c r="M41" s="32">
        <f>M38</f>
        <v>1046090</v>
      </c>
      <c r="N41" s="32">
        <f>N38</f>
        <v>1134103</v>
      </c>
      <c r="O41" s="33"/>
      <c r="P41" s="36"/>
      <c r="Q41" s="36"/>
      <c r="R41" s="36"/>
      <c r="S41" s="36"/>
      <c r="T41" s="36"/>
      <c r="U41" s="36"/>
      <c r="V41" s="36"/>
      <c r="W41" s="37"/>
      <c r="X41" s="37"/>
    </row>
    <row r="42" spans="2:24" ht="15.05" customHeight="1" outlineLevel="1" x14ac:dyDescent="0.3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7"/>
      <c r="Q42" s="37"/>
      <c r="R42" s="37"/>
      <c r="S42" s="37"/>
      <c r="T42" s="37"/>
      <c r="U42" s="37"/>
      <c r="V42" s="37"/>
      <c r="W42" s="37"/>
      <c r="X42" s="37"/>
    </row>
    <row r="43" spans="2:24" ht="15.05" customHeight="1" outlineLevel="1" x14ac:dyDescent="0.3">
      <c r="B43" s="25" t="s">
        <v>118</v>
      </c>
      <c r="C43" s="26" t="s">
        <v>102</v>
      </c>
      <c r="D43" s="27" t="s">
        <v>119</v>
      </c>
      <c r="E43" s="26" t="s">
        <v>102</v>
      </c>
      <c r="F43" s="28">
        <f>Historicals!C25*-1</f>
        <v>41322</v>
      </c>
      <c r="G43" s="28">
        <f>Historicals!D25*-1</f>
        <v>58649</v>
      </c>
      <c r="H43" s="28">
        <f>Historicals!E25*-1</f>
        <v>59107</v>
      </c>
      <c r="I43" s="28">
        <f>Historicals!F25*-1</f>
        <v>74329</v>
      </c>
      <c r="J43" s="28">
        <f>Historicals!G25*-1</f>
        <v>70162</v>
      </c>
      <c r="K43" s="28">
        <f>Historicals!H25*-1</f>
        <v>95543</v>
      </c>
      <c r="L43" s="28">
        <f>Historicals!I25*-1</f>
        <v>73614</v>
      </c>
      <c r="M43" s="28">
        <f>Historicals!J25*-1</f>
        <v>86947</v>
      </c>
      <c r="N43" s="28">
        <f>Historicals!K25*-1</f>
        <v>114999</v>
      </c>
      <c r="O43" s="29" t="s">
        <v>102</v>
      </c>
      <c r="P43" s="30">
        <f t="shared" ref="P43:X43" si="22">IF(F44=0,,F43/F44)</f>
        <v>6.972482637131229E-2</v>
      </c>
      <c r="Q43" s="30">
        <f t="shared" si="22"/>
        <v>8.7079627622455497E-2</v>
      </c>
      <c r="R43" s="30">
        <f t="shared" si="22"/>
        <v>7.7803899475050411E-2</v>
      </c>
      <c r="S43" s="30">
        <f t="shared" si="22"/>
        <v>8.5587032693465792E-2</v>
      </c>
      <c r="T43" s="30">
        <f t="shared" si="22"/>
        <v>8.36004356249717E-2</v>
      </c>
      <c r="U43" s="30">
        <f t="shared" si="22"/>
        <v>0.10231721839553135</v>
      </c>
      <c r="V43" s="30">
        <f t="shared" si="22"/>
        <v>7.4363735178065257E-2</v>
      </c>
      <c r="W43" s="30">
        <f t="shared" si="22"/>
        <v>8.3116175472473686E-2</v>
      </c>
      <c r="X43" s="30">
        <f t="shared" si="22"/>
        <v>0.101400842780594</v>
      </c>
    </row>
    <row r="44" spans="2:24" ht="15.05" customHeight="1" outlineLevel="1" x14ac:dyDescent="0.35">
      <c r="B44" s="25"/>
      <c r="C44" s="31"/>
      <c r="D44" s="31" t="str">
        <f>+D20</f>
        <v>Revenue</v>
      </c>
      <c r="E44" s="31"/>
      <c r="F44" s="32">
        <f>F41</f>
        <v>592644</v>
      </c>
      <c r="G44" s="32">
        <f>G41</f>
        <v>673510</v>
      </c>
      <c r="H44" s="32">
        <f>H41</f>
        <v>759692</v>
      </c>
      <c r="I44" s="32">
        <f>I41</f>
        <v>868461</v>
      </c>
      <c r="J44" s="32">
        <f>J41</f>
        <v>839254</v>
      </c>
      <c r="K44" s="32">
        <f>K41</f>
        <v>933792</v>
      </c>
      <c r="L44" s="32">
        <f>L41</f>
        <v>989918</v>
      </c>
      <c r="M44" s="32">
        <f>M41</f>
        <v>1046090</v>
      </c>
      <c r="N44" s="32">
        <f>N41</f>
        <v>1134103</v>
      </c>
      <c r="O44" s="32"/>
      <c r="P44" s="34"/>
      <c r="Q44" s="34"/>
      <c r="R44" s="34"/>
      <c r="S44" s="34"/>
      <c r="T44" s="34"/>
      <c r="U44" s="34"/>
      <c r="V44" s="34"/>
      <c r="W44" s="35"/>
      <c r="X44" s="35"/>
    </row>
    <row r="45" spans="2:24" ht="15.05" customHeight="1" outlineLevel="1" x14ac:dyDescent="0.3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5"/>
      <c r="Q45" s="35"/>
      <c r="R45" s="35"/>
      <c r="S45" s="35"/>
      <c r="T45" s="35"/>
      <c r="U45" s="35"/>
      <c r="V45" s="35"/>
      <c r="W45" s="35"/>
      <c r="X45" s="35"/>
    </row>
    <row r="46" spans="2:24" ht="15.05" customHeight="1" outlineLevel="1" x14ac:dyDescent="0.3">
      <c r="B46" s="238" t="s">
        <v>120</v>
      </c>
      <c r="C46" s="26" t="s">
        <v>102</v>
      </c>
      <c r="D46" s="27" t="str">
        <f>D10</f>
        <v>Net Income</v>
      </c>
      <c r="E46" s="26" t="s">
        <v>102</v>
      </c>
      <c r="F46" s="28">
        <f>Historicals!C27</f>
        <v>225221</v>
      </c>
      <c r="G46" s="28">
        <f>Historicals!D27</f>
        <v>247662</v>
      </c>
      <c r="H46" s="28">
        <f>Historicals!E27</f>
        <v>325080</v>
      </c>
      <c r="I46" s="28">
        <f>Historicals!F27</f>
        <v>374469</v>
      </c>
      <c r="J46" s="28">
        <f>Historicals!G27</f>
        <v>360733</v>
      </c>
      <c r="K46" s="28">
        <f>Historicals!H27</f>
        <v>397493</v>
      </c>
      <c r="L46" s="28">
        <f>Historicals!I27</f>
        <v>451755</v>
      </c>
      <c r="M46" s="28">
        <f>Historicals!J27</f>
        <v>505416</v>
      </c>
      <c r="N46" s="28">
        <f>Historicals!K27</f>
        <v>572480</v>
      </c>
      <c r="O46" s="29" t="s">
        <v>102</v>
      </c>
      <c r="P46" s="73">
        <f t="shared" ref="P46:X46" si="23">IF(F47=0,,F46/F47)</f>
        <v>0.38002747011696736</v>
      </c>
      <c r="Q46" s="73">
        <f t="shared" si="23"/>
        <v>0.36771837092248072</v>
      </c>
      <c r="R46" s="73">
        <f t="shared" si="23"/>
        <v>0.42791025836786489</v>
      </c>
      <c r="S46" s="73">
        <f t="shared" si="23"/>
        <v>0.43118689267566418</v>
      </c>
      <c r="T46" s="73">
        <f t="shared" si="23"/>
        <v>0.42982577384200732</v>
      </c>
      <c r="U46" s="73">
        <f t="shared" si="23"/>
        <v>0.42567616771186734</v>
      </c>
      <c r="V46" s="73">
        <f t="shared" si="23"/>
        <v>0.4563559810004465</v>
      </c>
      <c r="W46" s="73">
        <f t="shared" si="23"/>
        <v>0.48314772151535718</v>
      </c>
      <c r="X46" s="73">
        <f t="shared" si="23"/>
        <v>0.50478660227510197</v>
      </c>
    </row>
    <row r="47" spans="2:24" ht="15.05" customHeight="1" outlineLevel="1" x14ac:dyDescent="0.35">
      <c r="B47" s="25"/>
      <c r="C47" s="31"/>
      <c r="D47" s="31" t="s">
        <v>121</v>
      </c>
      <c r="E47" s="31"/>
      <c r="F47" s="32">
        <f>F44</f>
        <v>592644</v>
      </c>
      <c r="G47" s="32">
        <f t="shared" ref="G47:N47" si="24">G44</f>
        <v>673510</v>
      </c>
      <c r="H47" s="32">
        <f t="shared" si="24"/>
        <v>759692</v>
      </c>
      <c r="I47" s="32">
        <f t="shared" si="24"/>
        <v>868461</v>
      </c>
      <c r="J47" s="32">
        <f t="shared" si="24"/>
        <v>839254</v>
      </c>
      <c r="K47" s="32">
        <f t="shared" si="24"/>
        <v>933792</v>
      </c>
      <c r="L47" s="32">
        <f t="shared" si="24"/>
        <v>989918</v>
      </c>
      <c r="M47" s="32">
        <f t="shared" si="24"/>
        <v>1046090</v>
      </c>
      <c r="N47" s="32">
        <f t="shared" si="24"/>
        <v>1134103</v>
      </c>
      <c r="O47" s="33"/>
      <c r="P47" s="36"/>
      <c r="Q47" s="36"/>
      <c r="R47" s="36"/>
      <c r="S47" s="36"/>
      <c r="T47" s="36"/>
      <c r="U47" s="36"/>
      <c r="V47" s="36"/>
      <c r="W47" s="37"/>
      <c r="X47" s="37"/>
    </row>
    <row r="48" spans="2:24" ht="15.05" customHeight="1" outlineLevel="1" x14ac:dyDescent="0.3">
      <c r="B48" s="25"/>
      <c r="C48" s="31"/>
      <c r="D48" s="31"/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3"/>
      <c r="P48" s="40"/>
      <c r="Q48" s="40"/>
      <c r="R48" s="40"/>
      <c r="S48" s="40"/>
      <c r="T48" s="40"/>
      <c r="U48" s="40"/>
      <c r="V48" s="40"/>
      <c r="W48" s="40"/>
      <c r="X48" s="40"/>
    </row>
    <row r="49" spans="2:24" ht="15.05" customHeight="1" outlineLevel="1" x14ac:dyDescent="0.3">
      <c r="B49" s="41" t="s">
        <v>122</v>
      </c>
      <c r="C49" s="26" t="s">
        <v>102</v>
      </c>
      <c r="D49" s="27" t="s">
        <v>119</v>
      </c>
      <c r="E49" s="26" t="s">
        <v>102</v>
      </c>
      <c r="F49" s="28">
        <f>F43</f>
        <v>41322</v>
      </c>
      <c r="G49" s="28">
        <f>G43</f>
        <v>58649</v>
      </c>
      <c r="H49" s="28">
        <f>H43</f>
        <v>59107</v>
      </c>
      <c r="I49" s="28">
        <f>I43</f>
        <v>74329</v>
      </c>
      <c r="J49" s="28">
        <f>J43</f>
        <v>70162</v>
      </c>
      <c r="K49" s="28">
        <f>K43</f>
        <v>95543</v>
      </c>
      <c r="L49" s="28">
        <f>L43</f>
        <v>73614</v>
      </c>
      <c r="M49" s="28">
        <f>M43</f>
        <v>86947</v>
      </c>
      <c r="N49" s="28">
        <f>N43</f>
        <v>114999</v>
      </c>
      <c r="O49" s="29" t="s">
        <v>102</v>
      </c>
      <c r="P49" s="30">
        <f t="shared" ref="P49:X49" si="25">IF(F50=0,,F49/F50)</f>
        <v>0.15502939488187648</v>
      </c>
      <c r="Q49" s="30">
        <f t="shared" si="25"/>
        <v>0.19146880131630925</v>
      </c>
      <c r="R49" s="30">
        <f t="shared" si="25"/>
        <v>0.15384955763729641</v>
      </c>
      <c r="S49" s="30">
        <f t="shared" si="25"/>
        <v>0.16561793947388356</v>
      </c>
      <c r="T49" s="30">
        <f t="shared" si="25"/>
        <v>0.16282853131273281</v>
      </c>
      <c r="U49" s="30">
        <f t="shared" si="25"/>
        <v>0.19378503800939484</v>
      </c>
      <c r="V49" s="30">
        <f t="shared" si="25"/>
        <v>0.14011865945649629</v>
      </c>
      <c r="W49" s="30">
        <f t="shared" si="25"/>
        <v>0.14677993054934221</v>
      </c>
      <c r="X49" s="30">
        <f t="shared" si="25"/>
        <v>0.16719831346321606</v>
      </c>
    </row>
    <row r="50" spans="2:24" ht="15.05" customHeight="1" outlineLevel="1" x14ac:dyDescent="0.35">
      <c r="B50" s="25"/>
      <c r="C50" s="31"/>
      <c r="D50" s="31" t="str">
        <f>+D40</f>
        <v>Earning Before Tax</v>
      </c>
      <c r="E50" s="31"/>
      <c r="F50" s="32">
        <f>F40</f>
        <v>266543</v>
      </c>
      <c r="G50" s="32">
        <f>G40</f>
        <v>306311</v>
      </c>
      <c r="H50" s="32">
        <f>H40</f>
        <v>384187</v>
      </c>
      <c r="I50" s="32">
        <f>I40</f>
        <v>448798</v>
      </c>
      <c r="J50" s="32">
        <f>J40</f>
        <v>430895</v>
      </c>
      <c r="K50" s="32">
        <f>K40</f>
        <v>493036</v>
      </c>
      <c r="L50" s="32">
        <f>L40</f>
        <v>525369</v>
      </c>
      <c r="M50" s="32">
        <f>M40</f>
        <v>592363</v>
      </c>
      <c r="N50" s="32">
        <f>N40</f>
        <v>687800</v>
      </c>
      <c r="O50" s="32"/>
      <c r="P50" s="34"/>
      <c r="Q50" s="34"/>
      <c r="R50" s="34"/>
      <c r="S50" s="34"/>
      <c r="T50" s="34"/>
      <c r="U50" s="34"/>
      <c r="V50" s="34"/>
      <c r="W50" s="35"/>
      <c r="X50" s="35"/>
    </row>
    <row r="51" spans="2:24" ht="15.05" customHeight="1" outlineLevel="1" x14ac:dyDescent="0.3">
      <c r="B51" s="25"/>
      <c r="C51" s="31"/>
      <c r="D51" s="31"/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3"/>
      <c r="P51" s="30"/>
      <c r="Q51" s="30"/>
      <c r="R51" s="30"/>
      <c r="S51" s="30"/>
      <c r="T51" s="30"/>
      <c r="U51" s="30"/>
      <c r="V51" s="30"/>
      <c r="W51" s="30"/>
      <c r="X51" s="30"/>
    </row>
    <row r="52" spans="2:24" ht="15.05" customHeight="1" outlineLevel="1" x14ac:dyDescent="0.3">
      <c r="B52" s="42" t="s">
        <v>123</v>
      </c>
      <c r="C52" s="26" t="s">
        <v>102</v>
      </c>
      <c r="D52" s="27" t="s">
        <v>54</v>
      </c>
      <c r="E52" s="26" t="s">
        <v>102</v>
      </c>
      <c r="F52" s="28">
        <f>F46</f>
        <v>225221</v>
      </c>
      <c r="G52" s="28">
        <f>G46</f>
        <v>247662</v>
      </c>
      <c r="H52" s="28">
        <f>H46</f>
        <v>325080</v>
      </c>
      <c r="I52" s="28">
        <f>I46</f>
        <v>374469</v>
      </c>
      <c r="J52" s="28">
        <f>J46</f>
        <v>360733</v>
      </c>
      <c r="K52" s="28">
        <f>K46</f>
        <v>397493</v>
      </c>
      <c r="L52" s="28">
        <f>L46</f>
        <v>451755</v>
      </c>
      <c r="M52" s="28">
        <f>M46</f>
        <v>505416</v>
      </c>
      <c r="N52" s="28">
        <f>N46</f>
        <v>572480</v>
      </c>
      <c r="O52" s="29" t="s">
        <v>102</v>
      </c>
      <c r="P52" s="30">
        <f t="shared" ref="P52:X52" si="26">IF(F53=0,,F52/F53)</f>
        <v>0.8449706051181235</v>
      </c>
      <c r="Q52" s="30">
        <f t="shared" si="26"/>
        <v>0.80853119868369072</v>
      </c>
      <c r="R52" s="30">
        <f t="shared" si="26"/>
        <v>0.84615044236270354</v>
      </c>
      <c r="S52" s="30">
        <f t="shared" si="26"/>
        <v>0.83438206052611641</v>
      </c>
      <c r="T52" s="30">
        <f t="shared" si="26"/>
        <v>0.83717146868726722</v>
      </c>
      <c r="U52" s="30">
        <f t="shared" si="26"/>
        <v>0.80621496199060516</v>
      </c>
      <c r="V52" s="30">
        <f t="shared" si="26"/>
        <v>0.85988134054350374</v>
      </c>
      <c r="W52" s="30">
        <f t="shared" si="26"/>
        <v>0.85322006945065776</v>
      </c>
      <c r="X52" s="30">
        <f t="shared" si="26"/>
        <v>0.83233498109915671</v>
      </c>
    </row>
    <row r="53" spans="2:24" ht="15.05" customHeight="1" outlineLevel="1" x14ac:dyDescent="0.35">
      <c r="B53" s="43"/>
      <c r="C53" s="31"/>
      <c r="D53" s="31" t="str">
        <f>+D50</f>
        <v>Earning Before Tax</v>
      </c>
      <c r="E53" s="31"/>
      <c r="F53" s="32">
        <f>F50</f>
        <v>266543</v>
      </c>
      <c r="G53" s="32">
        <f t="shared" ref="G53:N53" si="27">G50</f>
        <v>306311</v>
      </c>
      <c r="H53" s="32">
        <f t="shared" si="27"/>
        <v>384187</v>
      </c>
      <c r="I53" s="32">
        <f t="shared" si="27"/>
        <v>448798</v>
      </c>
      <c r="J53" s="32">
        <f t="shared" si="27"/>
        <v>430895</v>
      </c>
      <c r="K53" s="32">
        <f t="shared" si="27"/>
        <v>493036</v>
      </c>
      <c r="L53" s="32">
        <f t="shared" si="27"/>
        <v>525369</v>
      </c>
      <c r="M53" s="32">
        <f t="shared" si="27"/>
        <v>592363</v>
      </c>
      <c r="N53" s="32">
        <f t="shared" si="27"/>
        <v>687800</v>
      </c>
      <c r="O53" s="32"/>
      <c r="P53" s="34"/>
      <c r="Q53" s="34"/>
      <c r="R53" s="34"/>
      <c r="S53" s="34"/>
      <c r="T53" s="34"/>
      <c r="U53" s="34"/>
      <c r="V53" s="34"/>
      <c r="W53" s="35"/>
      <c r="X53" s="35"/>
    </row>
    <row r="54" spans="2:24" ht="15.05" customHeight="1" outlineLevel="1" x14ac:dyDescent="0.3">
      <c r="B54" s="43"/>
      <c r="C54" s="31"/>
      <c r="D54" s="31"/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3"/>
      <c r="P54" s="30"/>
      <c r="Q54" s="30"/>
      <c r="R54" s="30"/>
      <c r="S54" s="30"/>
      <c r="T54" s="30"/>
      <c r="U54" s="30"/>
      <c r="V54" s="30"/>
      <c r="W54" s="30"/>
      <c r="X54" s="30"/>
    </row>
    <row r="55" spans="2:24" ht="15.05" customHeight="1" outlineLevel="1" x14ac:dyDescent="0.3">
      <c r="B55" s="239" t="s">
        <v>194</v>
      </c>
      <c r="C55" s="26" t="s">
        <v>102</v>
      </c>
      <c r="D55" s="27" t="s">
        <v>195</v>
      </c>
      <c r="E55" s="26" t="s">
        <v>102</v>
      </c>
      <c r="F55" s="28">
        <f>Historicals!C19</f>
        <v>16661</v>
      </c>
      <c r="G55" s="28">
        <f>Historicals!D19</f>
        <v>18341</v>
      </c>
      <c r="H55" s="28">
        <f>Historicals!E19</f>
        <v>19966</v>
      </c>
      <c r="I55" s="28">
        <f>Historicals!F19</f>
        <v>21750</v>
      </c>
      <c r="J55" s="28">
        <f>Historicals!G19</f>
        <v>22182</v>
      </c>
      <c r="K55" s="28">
        <f>Historicals!H19</f>
        <v>21501</v>
      </c>
      <c r="L55" s="28">
        <f>Historicals!I19</f>
        <v>23222</v>
      </c>
      <c r="M55" s="28">
        <f>Historicals!J19</f>
        <v>26463</v>
      </c>
      <c r="N55" s="28">
        <f>Historicals!K19</f>
        <v>26146</v>
      </c>
      <c r="O55" s="29" t="s">
        <v>102</v>
      </c>
      <c r="P55" s="73">
        <f t="shared" ref="P55:X55" si="28">IF(F56=0,,F55/F56)</f>
        <v>6.690680994948156E-2</v>
      </c>
      <c r="Q55" s="73">
        <f t="shared" si="28"/>
        <v>6.4004941442510371E-2</v>
      </c>
      <c r="R55" s="73">
        <f t="shared" si="28"/>
        <v>5.5343352754971369E-2</v>
      </c>
      <c r="S55" s="73">
        <f t="shared" si="28"/>
        <v>5.1090758327793605E-2</v>
      </c>
      <c r="T55" s="73">
        <f t="shared" si="28"/>
        <v>5.4490383977635899E-2</v>
      </c>
      <c r="U55" s="73">
        <f t="shared" si="28"/>
        <v>4.6396057165915376E-2</v>
      </c>
      <c r="V55" s="73">
        <f t="shared" si="28"/>
        <v>4.6380458771483071E-2</v>
      </c>
      <c r="W55" s="73">
        <f t="shared" si="28"/>
        <v>4.6845210593677147E-2</v>
      </c>
      <c r="X55" s="73">
        <f t="shared" si="28"/>
        <v>3.9677312638284827E-2</v>
      </c>
    </row>
    <row r="56" spans="2:24" ht="15.05" customHeight="1" outlineLevel="1" x14ac:dyDescent="0.35">
      <c r="B56" s="25"/>
      <c r="C56" s="31"/>
      <c r="D56" s="31" t="s">
        <v>115</v>
      </c>
      <c r="E56" s="31"/>
      <c r="F56" s="32">
        <f>F34</f>
        <v>249018</v>
      </c>
      <c r="G56" s="32">
        <f>G34</f>
        <v>286556</v>
      </c>
      <c r="H56" s="32">
        <f>H34</f>
        <v>360766</v>
      </c>
      <c r="I56" s="32">
        <f>I34</f>
        <v>425713</v>
      </c>
      <c r="J56" s="32">
        <f>J34</f>
        <v>407081</v>
      </c>
      <c r="K56" s="32">
        <f>K34</f>
        <v>463423</v>
      </c>
      <c r="L56" s="32">
        <f>L34</f>
        <v>500685</v>
      </c>
      <c r="M56" s="32">
        <f>M34</f>
        <v>564903</v>
      </c>
      <c r="N56" s="32">
        <f>N34</f>
        <v>658966</v>
      </c>
      <c r="O56" s="32"/>
      <c r="P56" s="34"/>
      <c r="Q56" s="34"/>
      <c r="R56" s="34"/>
      <c r="S56" s="34"/>
      <c r="T56" s="34"/>
      <c r="U56" s="34"/>
      <c r="V56" s="34"/>
      <c r="W56" s="35"/>
      <c r="X56" s="35"/>
    </row>
    <row r="57" spans="2:24" ht="15.05" customHeight="1" outlineLevel="1" x14ac:dyDescent="0.3">
      <c r="B57" s="43"/>
      <c r="C57" s="31"/>
      <c r="D57" s="31"/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3"/>
      <c r="P57" s="30"/>
      <c r="Q57" s="30"/>
      <c r="R57" s="30"/>
      <c r="S57" s="30"/>
      <c r="T57" s="30"/>
      <c r="U57" s="30"/>
      <c r="V57" s="30"/>
      <c r="W57" s="30"/>
      <c r="X57" s="30"/>
    </row>
    <row r="58" spans="2:24" ht="15.05" customHeight="1" outlineLevel="1" x14ac:dyDescent="0.3">
      <c r="B58" s="62" t="s">
        <v>592</v>
      </c>
      <c r="C58" s="26" t="s">
        <v>102</v>
      </c>
      <c r="D58" s="27" t="s">
        <v>493</v>
      </c>
      <c r="E58" s="26" t="s">
        <v>102</v>
      </c>
      <c r="F58" s="28">
        <f>Historicals!C51*-1</f>
        <v>181305</v>
      </c>
      <c r="G58" s="28">
        <f>Historicals!D51*-1</f>
        <v>205674</v>
      </c>
      <c r="H58" s="28">
        <f>Historicals!E51*-1</f>
        <v>207079</v>
      </c>
      <c r="I58" s="28">
        <f>Historicals!F51*-1</f>
        <v>361949</v>
      </c>
      <c r="J58" s="28">
        <f>Historicals!G51*-1</f>
        <v>330827</v>
      </c>
      <c r="K58" s="28">
        <f>Historicals!H51*-1</f>
        <v>297226</v>
      </c>
      <c r="L58" s="28">
        <f>Historicals!I51*-1</f>
        <v>287452</v>
      </c>
      <c r="M58" s="28">
        <f>Historicals!J51*-1</f>
        <v>356906</v>
      </c>
      <c r="N58" s="28">
        <f>Historicals!K51*-1</f>
        <v>350763</v>
      </c>
      <c r="O58" s="29" t="s">
        <v>102</v>
      </c>
      <c r="P58" s="30">
        <f t="shared" ref="P58:X58" si="29">IF(F59=0,,F58/F59)</f>
        <v>0.30592564844999698</v>
      </c>
      <c r="Q58" s="30">
        <f t="shared" si="29"/>
        <v>0.30537631215572153</v>
      </c>
      <c r="R58" s="30">
        <f t="shared" si="29"/>
        <v>0.27258283620203977</v>
      </c>
      <c r="S58" s="30">
        <f t="shared" si="29"/>
        <v>0.41677058612879564</v>
      </c>
      <c r="T58" s="30">
        <f t="shared" si="29"/>
        <v>0.39419174647961164</v>
      </c>
      <c r="U58" s="30">
        <f t="shared" si="29"/>
        <v>0.31830000685377474</v>
      </c>
      <c r="V58" s="30">
        <f t="shared" si="29"/>
        <v>0.29037960719978828</v>
      </c>
      <c r="W58" s="30">
        <f t="shared" si="29"/>
        <v>0.34118096913267498</v>
      </c>
      <c r="X58" s="30">
        <f t="shared" si="29"/>
        <v>0.30928672263454027</v>
      </c>
    </row>
    <row r="59" spans="2:24" ht="15.05" customHeight="1" outlineLevel="1" x14ac:dyDescent="0.35">
      <c r="B59" s="25"/>
      <c r="C59" s="31"/>
      <c r="D59" s="31" t="s">
        <v>121</v>
      </c>
      <c r="E59" s="31"/>
      <c r="F59" s="32">
        <f>F44</f>
        <v>592644</v>
      </c>
      <c r="G59" s="32">
        <f t="shared" ref="G59:N59" si="30">G44</f>
        <v>673510</v>
      </c>
      <c r="H59" s="32">
        <f t="shared" si="30"/>
        <v>759692</v>
      </c>
      <c r="I59" s="32">
        <f t="shared" si="30"/>
        <v>868461</v>
      </c>
      <c r="J59" s="32">
        <f t="shared" si="30"/>
        <v>839254</v>
      </c>
      <c r="K59" s="32">
        <f t="shared" si="30"/>
        <v>933792</v>
      </c>
      <c r="L59" s="32">
        <f t="shared" si="30"/>
        <v>989918</v>
      </c>
      <c r="M59" s="32">
        <f t="shared" si="30"/>
        <v>1046090</v>
      </c>
      <c r="N59" s="32">
        <f t="shared" si="30"/>
        <v>1134103</v>
      </c>
      <c r="O59" s="32"/>
      <c r="P59" s="36"/>
      <c r="Q59" s="36"/>
      <c r="R59" s="36"/>
      <c r="S59" s="36"/>
      <c r="T59" s="36"/>
      <c r="U59" s="36"/>
      <c r="V59" s="36"/>
      <c r="W59" s="37"/>
      <c r="X59" s="37"/>
    </row>
    <row r="60" spans="2:24" ht="15.05" customHeight="1" outlineLevel="1" x14ac:dyDescent="0.35">
      <c r="B60" s="25"/>
      <c r="C60" s="31"/>
      <c r="D60" s="31"/>
      <c r="E60" s="31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6"/>
      <c r="Q60" s="36"/>
      <c r="R60" s="36"/>
      <c r="S60" s="36"/>
      <c r="T60" s="36"/>
      <c r="U60" s="36"/>
      <c r="V60" s="36"/>
      <c r="W60" s="37"/>
      <c r="X60" s="37"/>
    </row>
    <row r="61" spans="2:24" ht="15.05" customHeight="1" outlineLevel="1" x14ac:dyDescent="0.3">
      <c r="B61" s="62" t="s">
        <v>489</v>
      </c>
      <c r="C61" s="26" t="s">
        <v>102</v>
      </c>
      <c r="D61" s="27" t="s">
        <v>488</v>
      </c>
      <c r="E61" s="26" t="s">
        <v>102</v>
      </c>
      <c r="F61" s="28">
        <f>F28</f>
        <v>172740</v>
      </c>
      <c r="G61" s="28">
        <f>G28</f>
        <v>191953</v>
      </c>
      <c r="H61" s="28">
        <f>H28</f>
        <v>328376</v>
      </c>
      <c r="I61" s="28">
        <f>I28</f>
        <v>156305</v>
      </c>
      <c r="J61" s="28">
        <f>J28</f>
        <v>158786</v>
      </c>
      <c r="K61" s="28">
        <f>K28</f>
        <v>314173</v>
      </c>
      <c r="L61" s="28">
        <f>L28</f>
        <v>425043</v>
      </c>
      <c r="M61" s="28">
        <f>M28</f>
        <v>309238</v>
      </c>
      <c r="N61" s="28">
        <f>N28</f>
        <v>509742</v>
      </c>
      <c r="O61" s="29" t="s">
        <v>102</v>
      </c>
      <c r="P61" s="73">
        <f t="shared" ref="P61" si="31">IF(F62=0,,F61/F62)</f>
        <v>0.76697998854458505</v>
      </c>
      <c r="Q61" s="73">
        <f t="shared" ref="Q61" si="32">IF(G62=0,,G61/G62)</f>
        <v>0.7750603645290759</v>
      </c>
      <c r="R61" s="73">
        <f t="shared" ref="R61" si="33">IF(H62=0,,H61/H62)</f>
        <v>1.0101390426971821</v>
      </c>
      <c r="S61" s="73">
        <f t="shared" ref="S61" si="34">IF(I62=0,,I61/I62)</f>
        <v>0.41740437793248575</v>
      </c>
      <c r="T61" s="73">
        <f t="shared" ref="T61" si="35">IF(J62=0,,J61/J62)</f>
        <v>0.44017597502862227</v>
      </c>
      <c r="U61" s="73">
        <f t="shared" ref="U61" si="36">IF(K62=0,,K61/K62)</f>
        <v>0.79038624579552341</v>
      </c>
      <c r="V61" s="73">
        <f t="shared" ref="V61" si="37">IF(L62=0,,L61/L62)</f>
        <v>0.94087060464189665</v>
      </c>
      <c r="W61" s="73">
        <f t="shared" ref="W61" si="38">IF(M62=0,,M61/M62)</f>
        <v>0.61184845750827044</v>
      </c>
      <c r="X61" s="73">
        <f t="shared" ref="X61" si="39">IF(N62=0,,N61/N62)</f>
        <v>0.890410145332588</v>
      </c>
    </row>
    <row r="62" spans="2:24" ht="15.05" customHeight="1" outlineLevel="1" x14ac:dyDescent="0.35">
      <c r="B62" s="25"/>
      <c r="C62" s="31"/>
      <c r="D62" s="31" t="s">
        <v>54</v>
      </c>
      <c r="E62" s="31"/>
      <c r="F62" s="32">
        <f>F46</f>
        <v>225221</v>
      </c>
      <c r="G62" s="32">
        <f>G46</f>
        <v>247662</v>
      </c>
      <c r="H62" s="32">
        <f>H46</f>
        <v>325080</v>
      </c>
      <c r="I62" s="32">
        <f>I46</f>
        <v>374469</v>
      </c>
      <c r="J62" s="32">
        <f>J46</f>
        <v>360733</v>
      </c>
      <c r="K62" s="32">
        <f>K46</f>
        <v>397493</v>
      </c>
      <c r="L62" s="32">
        <f>L46</f>
        <v>451755</v>
      </c>
      <c r="M62" s="32">
        <f>M46</f>
        <v>505416</v>
      </c>
      <c r="N62" s="32">
        <f>N46</f>
        <v>572480</v>
      </c>
      <c r="O62" s="32"/>
      <c r="P62" s="36"/>
      <c r="Q62" s="36"/>
      <c r="R62" s="36"/>
      <c r="S62" s="36"/>
      <c r="T62" s="36"/>
      <c r="U62" s="36"/>
      <c r="V62" s="36"/>
      <c r="W62" s="37"/>
      <c r="X62" s="37"/>
    </row>
    <row r="63" spans="2:24" ht="15.05" customHeight="1" outlineLevel="1" x14ac:dyDescent="0.3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5"/>
      <c r="Q63" s="45"/>
      <c r="R63" s="45"/>
      <c r="S63" s="45"/>
      <c r="T63" s="45"/>
      <c r="U63" s="45"/>
      <c r="V63" s="45"/>
      <c r="W63" s="45"/>
    </row>
    <row r="64" spans="2:24" ht="15.05" customHeight="1" x14ac:dyDescent="0.3">
      <c r="P64" s="46"/>
      <c r="Q64" s="46"/>
      <c r="R64" s="46"/>
      <c r="S64" s="46"/>
      <c r="T64" s="46"/>
      <c r="U64" s="46"/>
      <c r="V64" s="46"/>
      <c r="W64" s="46"/>
      <c r="X64" s="46"/>
    </row>
    <row r="65" spans="1:24" ht="15.05" customHeight="1" x14ac:dyDescent="0.3">
      <c r="A65" t="s">
        <v>90</v>
      </c>
      <c r="B65" s="363" t="s">
        <v>127</v>
      </c>
      <c r="C65" s="364"/>
      <c r="D65" s="365"/>
      <c r="E65" s="366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8"/>
    </row>
    <row r="66" spans="1:24" ht="15.05" customHeight="1" outlineLevel="1" x14ac:dyDescent="0.3">
      <c r="B66" s="4" t="s">
        <v>8</v>
      </c>
      <c r="C66" s="14"/>
      <c r="D66" s="15"/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7"/>
      <c r="P66" s="18"/>
      <c r="Q66" s="19"/>
      <c r="R66" s="18"/>
      <c r="S66" s="18"/>
      <c r="T66" s="18"/>
      <c r="U66" s="18"/>
      <c r="V66" s="18"/>
      <c r="W66" s="18"/>
      <c r="X66" s="18"/>
    </row>
    <row r="67" spans="1:24" ht="15.05" customHeight="1" outlineLevel="1" x14ac:dyDescent="0.3">
      <c r="C67" s="14"/>
      <c r="D67" s="21"/>
      <c r="E67" s="21"/>
      <c r="F67" s="74">
        <f>F4</f>
        <v>45352</v>
      </c>
      <c r="G67" s="74">
        <f>G4</f>
        <v>45473</v>
      </c>
      <c r="H67" s="74">
        <f>H4</f>
        <v>45565</v>
      </c>
      <c r="I67" s="74">
        <f>I4</f>
        <v>45657</v>
      </c>
      <c r="J67" s="74">
        <f>J4</f>
        <v>45747</v>
      </c>
      <c r="K67" s="74">
        <f>K4</f>
        <v>45838</v>
      </c>
      <c r="L67" s="74">
        <f>L4</f>
        <v>45930</v>
      </c>
      <c r="M67" s="74">
        <f>M4</f>
        <v>46022</v>
      </c>
      <c r="N67" s="74">
        <f>N4</f>
        <v>46112</v>
      </c>
      <c r="O67" s="237"/>
      <c r="P67" s="74">
        <f t="shared" ref="P67:X67" si="40">+F67</f>
        <v>45352</v>
      </c>
      <c r="Q67" s="74">
        <f t="shared" si="40"/>
        <v>45473</v>
      </c>
      <c r="R67" s="74">
        <f t="shared" si="40"/>
        <v>45565</v>
      </c>
      <c r="S67" s="74">
        <f t="shared" si="40"/>
        <v>45657</v>
      </c>
      <c r="T67" s="74">
        <f t="shared" si="40"/>
        <v>45747</v>
      </c>
      <c r="U67" s="74">
        <f t="shared" si="40"/>
        <v>45838</v>
      </c>
      <c r="V67" s="74">
        <f t="shared" si="40"/>
        <v>45930</v>
      </c>
      <c r="W67" s="74">
        <f t="shared" si="40"/>
        <v>46022</v>
      </c>
      <c r="X67" s="74">
        <f t="shared" si="40"/>
        <v>46112</v>
      </c>
    </row>
    <row r="68" spans="1:24" ht="15.05" customHeight="1" outlineLevel="1" x14ac:dyDescent="0.35">
      <c r="B68" s="20"/>
      <c r="C68" s="14"/>
      <c r="D68" s="21"/>
      <c r="E68" s="21"/>
      <c r="F68" s="21"/>
      <c r="G68" s="21"/>
      <c r="H68" s="21"/>
      <c r="I68" s="22"/>
      <c r="J68" s="22"/>
      <c r="K68" s="22"/>
      <c r="L68" s="22"/>
      <c r="M68" s="22"/>
      <c r="N68" s="22"/>
      <c r="O68" s="23"/>
      <c r="P68" s="24"/>
      <c r="Q68" s="19"/>
      <c r="R68" s="24"/>
      <c r="S68" s="24"/>
      <c r="T68" s="24"/>
      <c r="U68" s="24"/>
      <c r="V68" s="24"/>
      <c r="W68" s="24"/>
      <c r="X68" s="24"/>
    </row>
    <row r="69" spans="1:24" ht="15.05" customHeight="1" outlineLevel="1" x14ac:dyDescent="0.3">
      <c r="B69" s="238" t="s">
        <v>491</v>
      </c>
      <c r="C69" s="26" t="s">
        <v>102</v>
      </c>
      <c r="D69" s="27" t="s">
        <v>492</v>
      </c>
      <c r="E69" s="26" t="s">
        <v>102</v>
      </c>
      <c r="F69" s="47">
        <f>Historicals!C45</f>
        <v>436311</v>
      </c>
      <c r="G69" s="47">
        <f>Historicals!D45</f>
        <v>377668</v>
      </c>
      <c r="H69" s="47">
        <f>Historicals!E45</f>
        <v>391993</v>
      </c>
      <c r="I69" s="47">
        <f>Historicals!F45</f>
        <v>620205</v>
      </c>
      <c r="J69" s="47">
        <f>Historicals!G45</f>
        <v>625574</v>
      </c>
      <c r="K69" s="47">
        <f>Historicals!H45</f>
        <v>497064</v>
      </c>
      <c r="L69" s="47">
        <f>Historicals!I45</f>
        <v>426829</v>
      </c>
      <c r="M69" s="47">
        <f>Historicals!J45</f>
        <v>725509</v>
      </c>
      <c r="N69" s="47">
        <f>Historicals!K45</f>
        <v>689976</v>
      </c>
      <c r="O69" s="29" t="s">
        <v>102</v>
      </c>
      <c r="P69" s="243">
        <f t="shared" ref="P69" si="41">IF(F70=0,,F69/F70)</f>
        <v>2.4065028543062796</v>
      </c>
      <c r="Q69" s="243">
        <f t="shared" ref="Q69" si="42">IF(G70=0,,G69/G70)</f>
        <v>1.8362457092291684</v>
      </c>
      <c r="R69" s="243">
        <f t="shared" ref="R69" si="43">IF(H70=0,,H69/H70)</f>
        <v>1.892963554971774</v>
      </c>
      <c r="S69" s="243">
        <f t="shared" ref="S69" si="44">IF(I70=0,,I69/I70)</f>
        <v>1.71351488745652</v>
      </c>
      <c r="T69" s="243">
        <f t="shared" ref="T69" si="45">IF(J70=0,,J69/J70)</f>
        <v>1.8909399776922682</v>
      </c>
      <c r="U69" s="243">
        <f t="shared" ref="U69" si="46">IF(K70=0,,K69/K70)</f>
        <v>1.6723436038569977</v>
      </c>
      <c r="V69" s="243">
        <f t="shared" ref="V69" si="47">IF(L70=0,,L69/L70)</f>
        <v>1.484870517512489</v>
      </c>
      <c r="W69" s="243">
        <f t="shared" ref="W69" si="48">IF(M70=0,,M69/M70)</f>
        <v>2.0327733352759552</v>
      </c>
      <c r="X69" s="243">
        <f t="shared" ref="X69" si="49">IF(N70=0,,N69/N70)</f>
        <v>1.967071783511944</v>
      </c>
    </row>
    <row r="70" spans="1:24" ht="15.05" customHeight="1" outlineLevel="1" x14ac:dyDescent="0.35">
      <c r="B70" s="25"/>
      <c r="C70" s="31"/>
      <c r="D70" s="31" t="s">
        <v>493</v>
      </c>
      <c r="E70" s="31"/>
      <c r="F70" s="32">
        <f>Historicals!C51*-1</f>
        <v>181305</v>
      </c>
      <c r="G70" s="32">
        <f>Historicals!D51*-1</f>
        <v>205674</v>
      </c>
      <c r="H70" s="32">
        <f>Historicals!E51*-1</f>
        <v>207079</v>
      </c>
      <c r="I70" s="32">
        <f>Historicals!F51*-1</f>
        <v>361949</v>
      </c>
      <c r="J70" s="32">
        <f>Historicals!G51*-1</f>
        <v>330827</v>
      </c>
      <c r="K70" s="32">
        <f>Historicals!H51*-1</f>
        <v>297226</v>
      </c>
      <c r="L70" s="32">
        <f>Historicals!I51*-1</f>
        <v>287452</v>
      </c>
      <c r="M70" s="32">
        <f>Historicals!J51*-1</f>
        <v>356906</v>
      </c>
      <c r="N70" s="32">
        <f>Historicals!K51*-1</f>
        <v>350763</v>
      </c>
      <c r="O70" s="33"/>
      <c r="P70" s="49"/>
      <c r="Q70" s="49"/>
      <c r="R70" s="49"/>
      <c r="S70" s="49"/>
      <c r="T70" s="49"/>
      <c r="U70" s="49"/>
      <c r="V70" s="49"/>
      <c r="W70" s="50"/>
      <c r="X70" s="50"/>
    </row>
    <row r="71" spans="1:24" ht="15.05" customHeight="1" outlineLevel="1" x14ac:dyDescent="0.3">
      <c r="B71" s="20"/>
      <c r="C71" s="14"/>
      <c r="D71" s="21"/>
      <c r="E71" s="21"/>
      <c r="F71" s="21"/>
      <c r="G71" s="21"/>
      <c r="H71" s="21"/>
      <c r="I71" s="17"/>
      <c r="J71" s="17"/>
      <c r="K71" s="17"/>
      <c r="L71" s="17"/>
      <c r="M71" s="17"/>
      <c r="N71" s="17"/>
      <c r="O71" s="17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05" customHeight="1" outlineLevel="1" x14ac:dyDescent="0.3">
      <c r="B72" s="238" t="s">
        <v>128</v>
      </c>
      <c r="C72" s="26" t="s">
        <v>102</v>
      </c>
      <c r="D72" s="27" t="str">
        <f>+D20</f>
        <v>Revenue</v>
      </c>
      <c r="E72" s="26" t="s">
        <v>102</v>
      </c>
      <c r="F72" s="47">
        <f>F47</f>
        <v>592644</v>
      </c>
      <c r="G72" s="47">
        <f>G47</f>
        <v>673510</v>
      </c>
      <c r="H72" s="47">
        <f>H47</f>
        <v>759692</v>
      </c>
      <c r="I72" s="47">
        <f>I47</f>
        <v>868461</v>
      </c>
      <c r="J72" s="47">
        <f>J47</f>
        <v>839254</v>
      </c>
      <c r="K72" s="47">
        <f>K47</f>
        <v>933792</v>
      </c>
      <c r="L72" s="47">
        <f>L47</f>
        <v>989918</v>
      </c>
      <c r="M72" s="47">
        <f>M47</f>
        <v>1046090</v>
      </c>
      <c r="N72" s="47">
        <f>N47</f>
        <v>1134103</v>
      </c>
      <c r="O72" s="29" t="s">
        <v>102</v>
      </c>
      <c r="P72" s="243">
        <f t="shared" ref="P72:X72" si="50">IF(F73=0,,F72/F73)</f>
        <v>0.10239377348329469</v>
      </c>
      <c r="Q72" s="243">
        <f t="shared" si="50"/>
        <v>0.11258258440977513</v>
      </c>
      <c r="R72" s="243">
        <f t="shared" si="50"/>
        <v>0.12321345102177253</v>
      </c>
      <c r="S72" s="243">
        <f t="shared" si="50"/>
        <v>0.12977720355448602</v>
      </c>
      <c r="T72" s="243">
        <f t="shared" si="50"/>
        <v>0.11765319410252244</v>
      </c>
      <c r="U72" s="243">
        <f t="shared" si="50"/>
        <v>0.13327795499796613</v>
      </c>
      <c r="V72" s="243">
        <f t="shared" si="50"/>
        <v>0.13460750571075455</v>
      </c>
      <c r="W72" s="243">
        <f t="shared" si="50"/>
        <v>0.13186522566930342</v>
      </c>
      <c r="X72" s="243">
        <f t="shared" si="50"/>
        <v>0.13094441140983379</v>
      </c>
    </row>
    <row r="73" spans="1:24" ht="15.05" customHeight="1" outlineLevel="1" x14ac:dyDescent="0.35">
      <c r="B73" s="25"/>
      <c r="C73" s="31"/>
      <c r="D73" s="31" t="str">
        <f>+D11</f>
        <v>Total Assets</v>
      </c>
      <c r="E73" s="31"/>
      <c r="F73" s="32">
        <f>Historicals!C96</f>
        <v>5787891</v>
      </c>
      <c r="G73" s="32">
        <f>Historicals!D96</f>
        <v>5982364</v>
      </c>
      <c r="H73" s="32">
        <f>Historicals!E96</f>
        <v>6165658</v>
      </c>
      <c r="I73" s="32">
        <f>Historicals!F96</f>
        <v>6691938</v>
      </c>
      <c r="J73" s="32">
        <f>Historicals!G96</f>
        <v>7133287</v>
      </c>
      <c r="K73" s="32">
        <f>Historicals!H96</f>
        <v>7006350</v>
      </c>
      <c r="L73" s="32">
        <f>Historicals!I96</f>
        <v>7354107</v>
      </c>
      <c r="M73" s="32">
        <f>Historicals!J96</f>
        <v>7933024</v>
      </c>
      <c r="N73" s="32">
        <f>Historicals!K96</f>
        <v>8660950</v>
      </c>
      <c r="O73" s="33"/>
      <c r="P73" s="49"/>
      <c r="Q73" s="49"/>
      <c r="R73" s="49"/>
      <c r="S73" s="49"/>
      <c r="T73" s="49"/>
      <c r="U73" s="49"/>
      <c r="V73" s="49"/>
      <c r="W73" s="50"/>
      <c r="X73" s="50"/>
    </row>
    <row r="74" spans="1:24" ht="15.05" customHeight="1" outlineLevel="1" x14ac:dyDescent="0.35">
      <c r="B74" s="25"/>
      <c r="C74" s="31"/>
      <c r="D74" s="31"/>
      <c r="E74" s="31"/>
      <c r="F74" s="32"/>
      <c r="G74" s="32"/>
      <c r="H74" s="32"/>
      <c r="I74" s="32"/>
      <c r="J74" s="32"/>
      <c r="K74" s="32"/>
      <c r="L74" s="32"/>
      <c r="M74" s="32"/>
      <c r="N74" s="32"/>
      <c r="O74" s="33"/>
      <c r="P74" s="49"/>
      <c r="Q74" s="49"/>
      <c r="R74" s="49"/>
      <c r="S74" s="49"/>
      <c r="T74" s="49"/>
      <c r="U74" s="49"/>
      <c r="V74" s="49"/>
      <c r="W74" s="50"/>
      <c r="X74" s="50"/>
    </row>
    <row r="75" spans="1:24" ht="15.05" customHeight="1" outlineLevel="1" x14ac:dyDescent="0.3">
      <c r="B75" s="238" t="s">
        <v>129</v>
      </c>
      <c r="C75" s="26" t="s">
        <v>102</v>
      </c>
      <c r="D75" s="27" t="str">
        <f>+D72</f>
        <v>Revenue</v>
      </c>
      <c r="E75" s="26" t="s">
        <v>102</v>
      </c>
      <c r="F75" s="47">
        <f>F72</f>
        <v>592644</v>
      </c>
      <c r="G75" s="47">
        <f t="shared" ref="G75:N75" si="51">G72</f>
        <v>673510</v>
      </c>
      <c r="H75" s="47">
        <f t="shared" si="51"/>
        <v>759692</v>
      </c>
      <c r="I75" s="47">
        <f t="shared" si="51"/>
        <v>868461</v>
      </c>
      <c r="J75" s="47">
        <f t="shared" si="51"/>
        <v>839254</v>
      </c>
      <c r="K75" s="47">
        <f t="shared" si="51"/>
        <v>933792</v>
      </c>
      <c r="L75" s="47">
        <f t="shared" si="51"/>
        <v>989918</v>
      </c>
      <c r="M75" s="47">
        <f t="shared" si="51"/>
        <v>1046090</v>
      </c>
      <c r="N75" s="47">
        <f t="shared" si="51"/>
        <v>1134103</v>
      </c>
      <c r="O75" s="29" t="s">
        <v>102</v>
      </c>
      <c r="P75" s="243">
        <f t="shared" ref="P75:X75" si="52">IF(F76=0,,F75/F76)</f>
        <v>0.19419184703825354</v>
      </c>
      <c r="Q75" s="243">
        <f t="shared" si="52"/>
        <v>0.21685137127880844</v>
      </c>
      <c r="R75" s="243">
        <f t="shared" si="52"/>
        <v>0.24732785757515874</v>
      </c>
      <c r="S75" s="243">
        <f t="shared" si="52"/>
        <v>0.26845946497350831</v>
      </c>
      <c r="T75" s="243">
        <f t="shared" si="52"/>
        <v>0.24678091017247089</v>
      </c>
      <c r="U75" s="243">
        <f t="shared" si="52"/>
        <v>0.27576349460133259</v>
      </c>
      <c r="V75" s="243">
        <f t="shared" si="52"/>
        <v>0.28288697786240324</v>
      </c>
      <c r="W75" s="243">
        <f t="shared" si="52"/>
        <v>0.28335185616065262</v>
      </c>
      <c r="X75" s="243">
        <f t="shared" si="52"/>
        <v>0.28677498224255371</v>
      </c>
    </row>
    <row r="76" spans="1:24" ht="15.05" customHeight="1" outlineLevel="1" x14ac:dyDescent="0.35">
      <c r="B76" s="25"/>
      <c r="C76" s="31"/>
      <c r="D76" s="31" t="s">
        <v>11</v>
      </c>
      <c r="E76" s="31"/>
      <c r="F76" s="32">
        <f>Historicals!C92</f>
        <v>3051848</v>
      </c>
      <c r="G76" s="32">
        <f>Historicals!D92</f>
        <v>3105860</v>
      </c>
      <c r="H76" s="32">
        <f>Historicals!E92</f>
        <v>3071599</v>
      </c>
      <c r="I76" s="32">
        <f>Historicals!F92</f>
        <v>3234980</v>
      </c>
      <c r="J76" s="32">
        <f>Historicals!G92</f>
        <v>3400806</v>
      </c>
      <c r="K76" s="32">
        <f>Historicals!H92</f>
        <v>3386206</v>
      </c>
      <c r="L76" s="32">
        <f>Historicals!I92</f>
        <v>3499341</v>
      </c>
      <c r="M76" s="32">
        <f>Historicals!J92</f>
        <v>3691841</v>
      </c>
      <c r="N76" s="32">
        <f>Historicals!K92</f>
        <v>3954679</v>
      </c>
      <c r="O76" s="33"/>
      <c r="P76" s="49"/>
      <c r="Q76" s="49"/>
      <c r="R76" s="49"/>
      <c r="S76" s="49"/>
      <c r="T76" s="49"/>
      <c r="U76" s="49"/>
      <c r="V76" s="49"/>
      <c r="W76" s="50"/>
      <c r="X76" s="50"/>
    </row>
    <row r="77" spans="1:24" ht="15.05" customHeight="1" outlineLevel="1" x14ac:dyDescent="0.35">
      <c r="B77" s="25"/>
      <c r="C77" s="31"/>
      <c r="D77" s="31"/>
      <c r="E77" s="31"/>
      <c r="F77" s="32"/>
      <c r="G77" s="32"/>
      <c r="H77" s="32"/>
      <c r="I77" s="32"/>
      <c r="J77" s="32"/>
      <c r="K77" s="32"/>
      <c r="L77" s="32"/>
      <c r="M77" s="32"/>
      <c r="N77" s="32"/>
      <c r="O77" s="33"/>
      <c r="P77" s="49"/>
      <c r="Q77" s="49"/>
      <c r="R77" s="49"/>
      <c r="S77" s="49"/>
      <c r="T77" s="49"/>
      <c r="U77" s="49"/>
      <c r="V77" s="49"/>
      <c r="W77" s="50"/>
      <c r="X77" s="50"/>
    </row>
    <row r="78" spans="1:24" ht="15.05" customHeight="1" outlineLevel="1" x14ac:dyDescent="0.3">
      <c r="B78" s="25" t="s">
        <v>130</v>
      </c>
      <c r="C78" s="26" t="s">
        <v>102</v>
      </c>
      <c r="D78" s="27" t="str">
        <f>D75</f>
        <v>Revenue</v>
      </c>
      <c r="E78" s="26" t="s">
        <v>102</v>
      </c>
      <c r="F78" s="47">
        <f>F75</f>
        <v>592644</v>
      </c>
      <c r="G78" s="47">
        <f t="shared" ref="G78:N78" si="53">G75</f>
        <v>673510</v>
      </c>
      <c r="H78" s="47">
        <f t="shared" si="53"/>
        <v>759692</v>
      </c>
      <c r="I78" s="47">
        <f t="shared" si="53"/>
        <v>868461</v>
      </c>
      <c r="J78" s="47">
        <f t="shared" si="53"/>
        <v>839254</v>
      </c>
      <c r="K78" s="47">
        <f t="shared" si="53"/>
        <v>933792</v>
      </c>
      <c r="L78" s="47">
        <f t="shared" si="53"/>
        <v>989918</v>
      </c>
      <c r="M78" s="47">
        <f t="shared" si="53"/>
        <v>1046090</v>
      </c>
      <c r="N78" s="47">
        <f t="shared" si="53"/>
        <v>1134103</v>
      </c>
      <c r="O78" s="29" t="s">
        <v>102</v>
      </c>
      <c r="P78" s="48">
        <f t="shared" ref="P78:X78" si="54">IF(F79=0,,F78/F79)</f>
        <v>0.34898445173584203</v>
      </c>
      <c r="Q78" s="48">
        <f t="shared" si="54"/>
        <v>0.37435378380736878</v>
      </c>
      <c r="R78" s="48">
        <f t="shared" si="54"/>
        <v>0.40263920401996839</v>
      </c>
      <c r="S78" s="48">
        <f t="shared" si="54"/>
        <v>0.40818291928049416</v>
      </c>
      <c r="T78" s="48">
        <f t="shared" si="54"/>
        <v>0.35044788634059404</v>
      </c>
      <c r="U78" s="48">
        <f t="shared" si="54"/>
        <v>0.39491753942865454</v>
      </c>
      <c r="V78" s="48">
        <f t="shared" si="54"/>
        <v>0.40065340245649211</v>
      </c>
      <c r="W78" s="48">
        <f t="shared" si="54"/>
        <v>0.3779423496020024</v>
      </c>
      <c r="X78" s="48">
        <f t="shared" si="54"/>
        <v>0.37359638191259364</v>
      </c>
    </row>
    <row r="79" spans="1:24" ht="15.05" customHeight="1" outlineLevel="1" x14ac:dyDescent="0.35">
      <c r="B79" s="25"/>
      <c r="C79" s="31"/>
      <c r="D79" s="31" t="s">
        <v>131</v>
      </c>
      <c r="E79" s="31"/>
      <c r="F79" s="32">
        <f>Historicals!C83</f>
        <v>1698196</v>
      </c>
      <c r="G79" s="32">
        <f>Historicals!D83</f>
        <v>1799127</v>
      </c>
      <c r="H79" s="32">
        <f>Historicals!E83</f>
        <v>1886781</v>
      </c>
      <c r="I79" s="32">
        <f>Historicals!F83</f>
        <v>2127627</v>
      </c>
      <c r="J79" s="32">
        <f>Historicals!G83</f>
        <v>2394804</v>
      </c>
      <c r="K79" s="32">
        <f>Historicals!H83</f>
        <v>2364524</v>
      </c>
      <c r="L79" s="32">
        <f>Historicals!I83</f>
        <v>2470759</v>
      </c>
      <c r="M79" s="32">
        <f>Historicals!J83</f>
        <v>2767856</v>
      </c>
      <c r="N79" s="32">
        <f>Historicals!K83</f>
        <v>3035637</v>
      </c>
      <c r="O79" s="33"/>
      <c r="P79" s="49"/>
      <c r="Q79" s="49"/>
      <c r="R79" s="49"/>
      <c r="S79" s="49"/>
      <c r="T79" s="49"/>
      <c r="U79" s="49"/>
      <c r="V79" s="49"/>
      <c r="W79" s="50"/>
      <c r="X79" s="50"/>
    </row>
    <row r="80" spans="1:24" ht="15.05" customHeight="1" outlineLevel="1" x14ac:dyDescent="0.35">
      <c r="B80" s="25"/>
      <c r="C80" s="31"/>
      <c r="D80" s="31"/>
      <c r="E80" s="31"/>
      <c r="F80" s="32"/>
      <c r="G80" s="32"/>
      <c r="H80" s="32"/>
      <c r="I80" s="32"/>
      <c r="J80" s="32"/>
      <c r="K80" s="32"/>
      <c r="L80" s="32"/>
      <c r="M80" s="32"/>
      <c r="N80" s="32"/>
      <c r="O80" s="33"/>
      <c r="P80" s="49"/>
      <c r="Q80" s="49"/>
      <c r="R80" s="49"/>
      <c r="S80" s="49"/>
      <c r="T80" s="49"/>
      <c r="U80" s="49"/>
      <c r="V80" s="49"/>
      <c r="W80" s="50"/>
      <c r="X80" s="50"/>
    </row>
    <row r="81" spans="2:24" ht="15.05" customHeight="1" outlineLevel="1" x14ac:dyDescent="0.3">
      <c r="B81" s="238" t="s">
        <v>132</v>
      </c>
      <c r="C81" s="26" t="s">
        <v>102</v>
      </c>
      <c r="D81" s="27" t="s">
        <v>133</v>
      </c>
      <c r="E81" s="26" t="s">
        <v>102</v>
      </c>
      <c r="F81" s="28">
        <f>Historicals!C83*365</f>
        <v>619841540</v>
      </c>
      <c r="G81" s="28">
        <f>Historicals!D83*365</f>
        <v>656681355</v>
      </c>
      <c r="H81" s="28">
        <f>Historicals!E83*365</f>
        <v>688675065</v>
      </c>
      <c r="I81" s="28">
        <f>Historicals!F83*365</f>
        <v>776583855</v>
      </c>
      <c r="J81" s="28">
        <f>Historicals!G83*365</f>
        <v>874103460</v>
      </c>
      <c r="K81" s="28">
        <f>Historicals!H83*365</f>
        <v>863051260</v>
      </c>
      <c r="L81" s="28">
        <f>Historicals!I83*365</f>
        <v>901827035</v>
      </c>
      <c r="M81" s="28">
        <f>Historicals!J83*365</f>
        <v>1010267440</v>
      </c>
      <c r="N81" s="28">
        <f>Historicals!K83*365</f>
        <v>1108007505</v>
      </c>
      <c r="O81" s="29" t="s">
        <v>102</v>
      </c>
      <c r="P81" s="240">
        <f t="shared" ref="P81:X81" si="55">IF(F82=0,,F81/F82)</f>
        <v>1045.8918676304831</v>
      </c>
      <c r="Q81" s="241">
        <f t="shared" si="55"/>
        <v>975.01351873023418</v>
      </c>
      <c r="R81" s="241">
        <f t="shared" si="55"/>
        <v>906.51877997925476</v>
      </c>
      <c r="S81" s="241">
        <f t="shared" si="55"/>
        <v>894.20694193521649</v>
      </c>
      <c r="T81" s="241">
        <f t="shared" si="55"/>
        <v>1041.5243299406377</v>
      </c>
      <c r="U81" s="241">
        <f t="shared" si="55"/>
        <v>924.2435788698125</v>
      </c>
      <c r="V81" s="241">
        <f t="shared" si="55"/>
        <v>911.01185653761218</v>
      </c>
      <c r="W81" s="241">
        <f t="shared" si="55"/>
        <v>965.75575715282628</v>
      </c>
      <c r="X81" s="241">
        <f t="shared" si="55"/>
        <v>976.99018960358978</v>
      </c>
    </row>
    <row r="82" spans="2:24" ht="15.05" customHeight="1" outlineLevel="1" x14ac:dyDescent="0.35">
      <c r="B82" s="25"/>
      <c r="C82" s="31"/>
      <c r="D82" s="31" t="str">
        <f>+D78</f>
        <v>Revenue</v>
      </c>
      <c r="E82" s="31"/>
      <c r="F82" s="32">
        <f>F78</f>
        <v>592644</v>
      </c>
      <c r="G82" s="32">
        <f t="shared" ref="G82:N82" si="56">G78</f>
        <v>673510</v>
      </c>
      <c r="H82" s="32">
        <f t="shared" si="56"/>
        <v>759692</v>
      </c>
      <c r="I82" s="32">
        <f t="shared" si="56"/>
        <v>868461</v>
      </c>
      <c r="J82" s="32">
        <f t="shared" si="56"/>
        <v>839254</v>
      </c>
      <c r="K82" s="32">
        <f t="shared" si="56"/>
        <v>933792</v>
      </c>
      <c r="L82" s="32">
        <f t="shared" si="56"/>
        <v>989918</v>
      </c>
      <c r="M82" s="32">
        <f t="shared" si="56"/>
        <v>1046090</v>
      </c>
      <c r="N82" s="32">
        <f t="shared" si="56"/>
        <v>1134103</v>
      </c>
      <c r="O82" s="33"/>
      <c r="P82" s="36"/>
      <c r="Q82" s="36"/>
      <c r="R82" s="36"/>
      <c r="S82" s="36"/>
      <c r="T82" s="36"/>
      <c r="U82" s="36"/>
      <c r="V82" s="36"/>
      <c r="W82" s="37"/>
      <c r="X82" s="37"/>
    </row>
    <row r="83" spans="2:24" ht="15.05" customHeight="1" outlineLevel="1" x14ac:dyDescent="0.35">
      <c r="B83" s="25"/>
      <c r="C83" s="31"/>
      <c r="D83" s="31"/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33"/>
      <c r="P83" s="49"/>
      <c r="Q83" s="49"/>
      <c r="R83" s="49"/>
      <c r="S83" s="49"/>
      <c r="T83" s="49"/>
      <c r="U83" s="49"/>
      <c r="V83" s="49"/>
      <c r="W83" s="50"/>
      <c r="X83" s="50"/>
    </row>
    <row r="84" spans="2:24" ht="15.05" customHeight="1" outlineLevel="1" x14ac:dyDescent="0.3">
      <c r="B84" s="25" t="s">
        <v>134</v>
      </c>
      <c r="C84" s="26" t="s">
        <v>102</v>
      </c>
      <c r="D84" s="27" t="str">
        <f>D78</f>
        <v>Revenue</v>
      </c>
      <c r="E84" s="26" t="s">
        <v>102</v>
      </c>
      <c r="F84" s="47">
        <f>F82</f>
        <v>592644</v>
      </c>
      <c r="G84" s="47">
        <f t="shared" ref="G84:N84" si="57">G82</f>
        <v>673510</v>
      </c>
      <c r="H84" s="47">
        <f t="shared" si="57"/>
        <v>759692</v>
      </c>
      <c r="I84" s="47">
        <f t="shared" si="57"/>
        <v>868461</v>
      </c>
      <c r="J84" s="47">
        <f t="shared" si="57"/>
        <v>839254</v>
      </c>
      <c r="K84" s="47">
        <f t="shared" si="57"/>
        <v>933792</v>
      </c>
      <c r="L84" s="47">
        <f t="shared" si="57"/>
        <v>989918</v>
      </c>
      <c r="M84" s="47">
        <f t="shared" si="57"/>
        <v>1046090</v>
      </c>
      <c r="N84" s="47">
        <f t="shared" si="57"/>
        <v>1134103</v>
      </c>
      <c r="O84" s="29" t="s">
        <v>102</v>
      </c>
      <c r="P84" s="48">
        <f t="shared" ref="P84:X84" si="58">IF(F85=0,,F84/F85)</f>
        <v>2.9341717001683336</v>
      </c>
      <c r="Q84" s="48">
        <f t="shared" si="58"/>
        <v>3.2039864897007755</v>
      </c>
      <c r="R84" s="48">
        <f t="shared" si="58"/>
        <v>3.0390840647427333</v>
      </c>
      <c r="S84" s="48">
        <f t="shared" si="58"/>
        <v>3.19183866984211</v>
      </c>
      <c r="T84" s="48">
        <f t="shared" si="58"/>
        <v>3.4402846496603798</v>
      </c>
      <c r="U84" s="48">
        <f t="shared" si="58"/>
        <v>3.9620340708997177</v>
      </c>
      <c r="V84" s="48">
        <f t="shared" si="58"/>
        <v>3.2159615871922655</v>
      </c>
      <c r="W84" s="48">
        <f t="shared" si="58"/>
        <v>3.7122903144529102</v>
      </c>
      <c r="X84" s="48">
        <f t="shared" si="58"/>
        <v>3.1242076555419347</v>
      </c>
    </row>
    <row r="85" spans="2:24" ht="15.05" customHeight="1" outlineLevel="1" x14ac:dyDescent="0.35">
      <c r="B85" s="25"/>
      <c r="C85" s="31"/>
      <c r="D85" s="31" t="s">
        <v>135</v>
      </c>
      <c r="E85" s="31"/>
      <c r="F85" s="32">
        <f>Historicals!C85</f>
        <v>201980</v>
      </c>
      <c r="G85" s="32">
        <f>Historicals!D85</f>
        <v>210210</v>
      </c>
      <c r="H85" s="32">
        <f>Historicals!E85</f>
        <v>249974</v>
      </c>
      <c r="I85" s="32">
        <f>Historicals!F85</f>
        <v>272088</v>
      </c>
      <c r="J85" s="32">
        <f>Historicals!G85</f>
        <v>243949</v>
      </c>
      <c r="K85" s="32">
        <f>Historicals!H85</f>
        <v>235685</v>
      </c>
      <c r="L85" s="32">
        <f>Historicals!I85</f>
        <v>307814</v>
      </c>
      <c r="M85" s="32">
        <f>Historicals!J85</f>
        <v>281791</v>
      </c>
      <c r="N85" s="32">
        <f>Historicals!K85</f>
        <v>363005</v>
      </c>
      <c r="O85" s="33"/>
      <c r="P85" s="49"/>
      <c r="Q85" s="49"/>
      <c r="R85" s="49"/>
      <c r="S85" s="49"/>
      <c r="T85" s="49"/>
      <c r="U85" s="49"/>
      <c r="V85" s="49"/>
      <c r="W85" s="50"/>
      <c r="X85" s="50"/>
    </row>
    <row r="86" spans="2:24" ht="15.05" customHeight="1" outlineLevel="1" x14ac:dyDescent="0.35">
      <c r="B86" s="25"/>
      <c r="C86" s="31"/>
      <c r="D86" s="31"/>
      <c r="E86" s="31"/>
      <c r="F86" s="32"/>
      <c r="G86" s="32"/>
      <c r="H86" s="32"/>
      <c r="I86" s="32"/>
      <c r="J86" s="32"/>
      <c r="K86" s="32"/>
      <c r="L86" s="32"/>
      <c r="M86" s="32"/>
      <c r="N86" s="32"/>
      <c r="O86" s="33"/>
      <c r="P86" s="49"/>
      <c r="Q86" s="49"/>
      <c r="R86" s="49"/>
      <c r="S86" s="49"/>
      <c r="T86" s="49"/>
      <c r="U86" s="49"/>
      <c r="V86" s="49"/>
      <c r="W86" s="50"/>
      <c r="X86" s="50"/>
    </row>
    <row r="87" spans="2:24" ht="15.05" customHeight="1" outlineLevel="1" x14ac:dyDescent="0.3">
      <c r="B87" s="238" t="s">
        <v>136</v>
      </c>
      <c r="C87" s="26" t="s">
        <v>102</v>
      </c>
      <c r="D87" s="27" t="s">
        <v>137</v>
      </c>
      <c r="E87" s="26" t="s">
        <v>102</v>
      </c>
      <c r="F87" s="28">
        <f>F85*365</f>
        <v>73722700</v>
      </c>
      <c r="G87" s="28">
        <f t="shared" ref="G87:N87" si="59">G85*365</f>
        <v>76726650</v>
      </c>
      <c r="H87" s="28">
        <f t="shared" si="59"/>
        <v>91240510</v>
      </c>
      <c r="I87" s="28">
        <f t="shared" si="59"/>
        <v>99312120</v>
      </c>
      <c r="J87" s="28">
        <f t="shared" si="59"/>
        <v>89041385</v>
      </c>
      <c r="K87" s="28">
        <f t="shared" si="59"/>
        <v>86025025</v>
      </c>
      <c r="L87" s="28">
        <f t="shared" si="59"/>
        <v>112352110</v>
      </c>
      <c r="M87" s="28">
        <f t="shared" si="59"/>
        <v>102853715</v>
      </c>
      <c r="N87" s="28">
        <f t="shared" si="59"/>
        <v>132496825</v>
      </c>
      <c r="O87" s="29" t="s">
        <v>102</v>
      </c>
      <c r="P87" s="240">
        <f t="shared" ref="P87:X87" si="60">IF(F88=0,,F87/F88)</f>
        <v>124.39626487402218</v>
      </c>
      <c r="Q87" s="242">
        <f t="shared" si="60"/>
        <v>113.92058024379742</v>
      </c>
      <c r="R87" s="242">
        <f t="shared" si="60"/>
        <v>120.10197553745465</v>
      </c>
      <c r="S87" s="242">
        <f t="shared" si="60"/>
        <v>114.35415061816248</v>
      </c>
      <c r="T87" s="242">
        <f t="shared" si="60"/>
        <v>106.09587204827145</v>
      </c>
      <c r="U87" s="242">
        <f t="shared" si="60"/>
        <v>92.124397082005416</v>
      </c>
      <c r="V87" s="242">
        <f t="shared" si="60"/>
        <v>113.49638050828453</v>
      </c>
      <c r="W87" s="242">
        <f t="shared" si="60"/>
        <v>98.322051639916253</v>
      </c>
      <c r="X87" s="242">
        <f t="shared" si="60"/>
        <v>116.82962217717439</v>
      </c>
    </row>
    <row r="88" spans="2:24" ht="15.05" customHeight="1" outlineLevel="1" x14ac:dyDescent="0.35">
      <c r="B88" s="25"/>
      <c r="C88" s="31"/>
      <c r="D88" s="31" t="str">
        <f>+D84</f>
        <v>Revenue</v>
      </c>
      <c r="E88" s="31"/>
      <c r="F88" s="32">
        <f>F84</f>
        <v>592644</v>
      </c>
      <c r="G88" s="32">
        <f t="shared" ref="G88:N88" si="61">G84</f>
        <v>673510</v>
      </c>
      <c r="H88" s="32">
        <f t="shared" si="61"/>
        <v>759692</v>
      </c>
      <c r="I88" s="32">
        <f t="shared" si="61"/>
        <v>868461</v>
      </c>
      <c r="J88" s="32">
        <f t="shared" si="61"/>
        <v>839254</v>
      </c>
      <c r="K88" s="32">
        <f t="shared" si="61"/>
        <v>933792</v>
      </c>
      <c r="L88" s="32">
        <f t="shared" si="61"/>
        <v>989918</v>
      </c>
      <c r="M88" s="32">
        <f t="shared" si="61"/>
        <v>1046090</v>
      </c>
      <c r="N88" s="32">
        <f t="shared" si="61"/>
        <v>1134103</v>
      </c>
      <c r="O88" s="33"/>
      <c r="P88" s="36"/>
      <c r="Q88" s="36"/>
      <c r="R88" s="36"/>
      <c r="S88" s="36"/>
      <c r="T88" s="36"/>
      <c r="U88" s="36"/>
      <c r="V88" s="36"/>
      <c r="W88" s="37"/>
      <c r="X88" s="37"/>
    </row>
    <row r="89" spans="2:24" ht="15.05" customHeight="1" outlineLevel="1" x14ac:dyDescent="0.35">
      <c r="B89" s="25"/>
      <c r="C89" s="31"/>
      <c r="D89" s="31"/>
      <c r="E89" s="31"/>
      <c r="F89" s="32"/>
      <c r="G89" s="32"/>
      <c r="H89" s="32"/>
      <c r="I89" s="32"/>
      <c r="J89" s="32"/>
      <c r="K89" s="32"/>
      <c r="L89" s="32"/>
      <c r="M89" s="32"/>
      <c r="N89" s="32"/>
      <c r="O89" s="33"/>
      <c r="P89" s="49"/>
      <c r="Q89" s="49"/>
      <c r="R89" s="49"/>
      <c r="S89" s="49"/>
      <c r="T89" s="49"/>
      <c r="U89" s="49"/>
      <c r="V89" s="49"/>
      <c r="W89" s="50"/>
      <c r="X89" s="50"/>
    </row>
    <row r="90" spans="2:24" ht="15.05" customHeight="1" outlineLevel="1" x14ac:dyDescent="0.3">
      <c r="B90" s="25" t="s">
        <v>138</v>
      </c>
      <c r="C90" s="26" t="s">
        <v>102</v>
      </c>
      <c r="D90" s="27" t="str">
        <f>+D96</f>
        <v>COGS</v>
      </c>
      <c r="E90" s="26" t="s">
        <v>102</v>
      </c>
      <c r="F90" s="28">
        <f>Historicals!C5*-1</f>
        <v>278139</v>
      </c>
      <c r="G90" s="28">
        <f>Historicals!D5*-1</f>
        <v>315385</v>
      </c>
      <c r="H90" s="28">
        <f>Historicals!E5*-1</f>
        <v>320347</v>
      </c>
      <c r="I90" s="28">
        <f>Historicals!F5*-1</f>
        <v>356082</v>
      </c>
      <c r="J90" s="28">
        <f>Historicals!G5*-1</f>
        <v>345859</v>
      </c>
      <c r="K90" s="28">
        <f>Historicals!H5*-1</f>
        <v>386423</v>
      </c>
      <c r="L90" s="28">
        <f>Historicals!I5*-1</f>
        <v>401375</v>
      </c>
      <c r="M90" s="28">
        <f>Historicals!J5*-1</f>
        <v>394103</v>
      </c>
      <c r="N90" s="28">
        <f>Historicals!K5*-1</f>
        <v>382808</v>
      </c>
      <c r="O90" s="29" t="s">
        <v>102</v>
      </c>
      <c r="P90" s="48">
        <f t="shared" ref="P90:X90" si="62">IF(F91=0,,F90/F91)</f>
        <v>1.0412394290270774</v>
      </c>
      <c r="Q90" s="48">
        <f t="shared" si="62"/>
        <v>1.1574143733187519</v>
      </c>
      <c r="R90" s="48">
        <f t="shared" si="62"/>
        <v>1.0937674983952692</v>
      </c>
      <c r="S90" s="48">
        <f t="shared" si="62"/>
        <v>1.2369584776408713</v>
      </c>
      <c r="T90" s="48">
        <f t="shared" si="62"/>
        <v>1.1788450788716649</v>
      </c>
      <c r="U90" s="48">
        <f t="shared" si="62"/>
        <v>1.2703176262516684</v>
      </c>
      <c r="V90" s="48">
        <f t="shared" si="62"/>
        <v>1.390337006259331</v>
      </c>
      <c r="W90" s="48">
        <f t="shared" si="62"/>
        <v>1.3678907361771546</v>
      </c>
      <c r="X90" s="48">
        <f t="shared" si="62"/>
        <v>1.2290996423227829</v>
      </c>
    </row>
    <row r="91" spans="2:24" ht="15.05" customHeight="1" outlineLevel="1" x14ac:dyDescent="0.35">
      <c r="B91" s="25"/>
      <c r="C91" s="31"/>
      <c r="D91" s="31" t="s">
        <v>139</v>
      </c>
      <c r="E91" s="31"/>
      <c r="F91" s="32">
        <f>Historicals!C86</f>
        <v>267123</v>
      </c>
      <c r="G91" s="32">
        <f>Historicals!D86</f>
        <v>272491</v>
      </c>
      <c r="H91" s="32">
        <f>Historicals!E86</f>
        <v>292884</v>
      </c>
      <c r="I91" s="32">
        <f>Historicals!F86</f>
        <v>287869</v>
      </c>
      <c r="J91" s="32">
        <f>Historicals!G86</f>
        <v>293388</v>
      </c>
      <c r="K91" s="32">
        <f>Historicals!H86</f>
        <v>304194</v>
      </c>
      <c r="L91" s="32">
        <f>Historicals!I86</f>
        <v>288689</v>
      </c>
      <c r="M91" s="32">
        <f>Historicals!J86</f>
        <v>288110</v>
      </c>
      <c r="N91" s="32">
        <f>Historicals!K86</f>
        <v>311454</v>
      </c>
      <c r="O91" s="33"/>
      <c r="P91" s="49"/>
      <c r="Q91" s="49"/>
      <c r="R91" s="49"/>
      <c r="S91" s="49"/>
      <c r="T91" s="49"/>
      <c r="U91" s="49"/>
      <c r="V91" s="49"/>
      <c r="W91" s="50"/>
      <c r="X91" s="50"/>
    </row>
    <row r="92" spans="2:24" ht="15.05" customHeight="1" outlineLevel="1" x14ac:dyDescent="0.3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4"/>
      <c r="Q92" s="24"/>
      <c r="R92" s="24"/>
      <c r="S92" s="24"/>
      <c r="T92" s="24"/>
      <c r="U92" s="24"/>
      <c r="V92" s="24"/>
      <c r="W92" s="24"/>
      <c r="X92" s="24"/>
    </row>
    <row r="93" spans="2:24" ht="15.05" customHeight="1" outlineLevel="1" x14ac:dyDescent="0.3">
      <c r="B93" s="238" t="s">
        <v>140</v>
      </c>
      <c r="C93" s="26" t="s">
        <v>102</v>
      </c>
      <c r="D93" s="27" t="s">
        <v>141</v>
      </c>
      <c r="E93" s="26" t="s">
        <v>102</v>
      </c>
      <c r="F93" s="28">
        <f>F91*365</f>
        <v>97499895</v>
      </c>
      <c r="G93" s="28">
        <f t="shared" ref="G93:N93" si="63">G91*365</f>
        <v>99459215</v>
      </c>
      <c r="H93" s="28">
        <f t="shared" si="63"/>
        <v>106902660</v>
      </c>
      <c r="I93" s="28">
        <f t="shared" si="63"/>
        <v>105072185</v>
      </c>
      <c r="J93" s="28">
        <f t="shared" si="63"/>
        <v>107086620</v>
      </c>
      <c r="K93" s="28">
        <f t="shared" si="63"/>
        <v>111030810</v>
      </c>
      <c r="L93" s="28">
        <f t="shared" si="63"/>
        <v>105371485</v>
      </c>
      <c r="M93" s="28">
        <f t="shared" si="63"/>
        <v>105160150</v>
      </c>
      <c r="N93" s="28">
        <f t="shared" si="63"/>
        <v>113680710</v>
      </c>
      <c r="O93" s="29" t="s">
        <v>102</v>
      </c>
      <c r="P93" s="240">
        <f t="shared" ref="P93:X93" si="64">IF(F94=0,,F93/F94)</f>
        <v>350.54377487515234</v>
      </c>
      <c r="Q93" s="242">
        <f t="shared" si="64"/>
        <v>315.35810200231464</v>
      </c>
      <c r="R93" s="242">
        <f t="shared" si="64"/>
        <v>333.70894686074786</v>
      </c>
      <c r="S93" s="242">
        <f t="shared" si="64"/>
        <v>295.07861953145624</v>
      </c>
      <c r="T93" s="242">
        <f t="shared" si="64"/>
        <v>309.62507842791427</v>
      </c>
      <c r="U93" s="242">
        <f t="shared" si="64"/>
        <v>287.3297138110309</v>
      </c>
      <c r="V93" s="242">
        <f t="shared" si="64"/>
        <v>262.52627841793833</v>
      </c>
      <c r="W93" s="242">
        <f t="shared" si="64"/>
        <v>266.8341778672073</v>
      </c>
      <c r="X93" s="242">
        <f t="shared" si="64"/>
        <v>296.96534555181711</v>
      </c>
    </row>
    <row r="94" spans="2:24" ht="15.05" customHeight="1" outlineLevel="1" x14ac:dyDescent="0.35">
      <c r="B94" s="25"/>
      <c r="C94" s="31"/>
      <c r="D94" s="31" t="str">
        <f>+D90</f>
        <v>COGS</v>
      </c>
      <c r="E94" s="31"/>
      <c r="F94" s="32">
        <f>F90</f>
        <v>278139</v>
      </c>
      <c r="G94" s="32">
        <f t="shared" ref="G94:N94" si="65">G90</f>
        <v>315385</v>
      </c>
      <c r="H94" s="32">
        <f t="shared" si="65"/>
        <v>320347</v>
      </c>
      <c r="I94" s="32">
        <f t="shared" si="65"/>
        <v>356082</v>
      </c>
      <c r="J94" s="32">
        <f t="shared" si="65"/>
        <v>345859</v>
      </c>
      <c r="K94" s="32">
        <f t="shared" si="65"/>
        <v>386423</v>
      </c>
      <c r="L94" s="32">
        <f t="shared" si="65"/>
        <v>401375</v>
      </c>
      <c r="M94" s="32">
        <f t="shared" si="65"/>
        <v>394103</v>
      </c>
      <c r="N94" s="32">
        <f t="shared" si="65"/>
        <v>382808</v>
      </c>
      <c r="O94" s="33"/>
      <c r="P94" s="49"/>
      <c r="Q94" s="49"/>
      <c r="R94" s="49"/>
      <c r="S94" s="49"/>
      <c r="T94" s="49"/>
      <c r="U94" s="49"/>
      <c r="V94" s="49"/>
      <c r="W94" s="50"/>
      <c r="X94" s="50"/>
    </row>
    <row r="95" spans="2:24" ht="15.05" customHeight="1" outlineLevel="1" x14ac:dyDescent="0.35">
      <c r="B95" s="25"/>
      <c r="C95" s="31"/>
      <c r="D95" s="31"/>
      <c r="E95" s="31"/>
      <c r="F95" s="32"/>
      <c r="G95" s="32"/>
      <c r="H95" s="32"/>
      <c r="I95" s="32"/>
      <c r="J95" s="32"/>
      <c r="K95" s="32"/>
      <c r="L95" s="32"/>
      <c r="M95" s="32"/>
      <c r="N95" s="32"/>
      <c r="O95" s="33"/>
      <c r="P95" s="49"/>
      <c r="Q95" s="49"/>
      <c r="R95" s="49"/>
      <c r="S95" s="49"/>
      <c r="T95" s="49"/>
      <c r="U95" s="49"/>
      <c r="V95" s="49"/>
      <c r="W95" s="50"/>
      <c r="X95" s="50"/>
    </row>
    <row r="96" spans="2:24" ht="15.05" customHeight="1" outlineLevel="1" x14ac:dyDescent="0.3">
      <c r="B96" s="25" t="s">
        <v>142</v>
      </c>
      <c r="C96" s="26" t="s">
        <v>102</v>
      </c>
      <c r="D96" s="27" t="s">
        <v>143</v>
      </c>
      <c r="E96" s="26" t="s">
        <v>102</v>
      </c>
      <c r="F96" s="28">
        <f>F94</f>
        <v>278139</v>
      </c>
      <c r="G96" s="28">
        <f t="shared" ref="G96:N96" si="66">G94</f>
        <v>315385</v>
      </c>
      <c r="H96" s="28">
        <f t="shared" si="66"/>
        <v>320347</v>
      </c>
      <c r="I96" s="28">
        <f t="shared" si="66"/>
        <v>356082</v>
      </c>
      <c r="J96" s="28">
        <f t="shared" si="66"/>
        <v>345859</v>
      </c>
      <c r="K96" s="28">
        <f t="shared" si="66"/>
        <v>386423</v>
      </c>
      <c r="L96" s="28">
        <f t="shared" si="66"/>
        <v>401375</v>
      </c>
      <c r="M96" s="28">
        <f t="shared" si="66"/>
        <v>394103</v>
      </c>
      <c r="N96" s="28">
        <f t="shared" si="66"/>
        <v>382808</v>
      </c>
      <c r="O96" s="29" t="s">
        <v>102</v>
      </c>
      <c r="P96" s="48">
        <f t="shared" ref="P96:X96" si="67">IF(F97=0,,F96/F97)</f>
        <v>4.8279638951570911</v>
      </c>
      <c r="Q96" s="48">
        <f t="shared" si="67"/>
        <v>4.9319749167279152</v>
      </c>
      <c r="R96" s="48">
        <f t="shared" si="67"/>
        <v>4.5233973453826604</v>
      </c>
      <c r="S96" s="48">
        <f t="shared" si="67"/>
        <v>4.7972031740471799</v>
      </c>
      <c r="T96" s="48">
        <f t="shared" si="67"/>
        <v>4.5002081869518831</v>
      </c>
      <c r="U96" s="48">
        <f t="shared" si="67"/>
        <v>4.5583801255131409</v>
      </c>
      <c r="V96" s="48">
        <f t="shared" si="67"/>
        <v>4.6462968536568425</v>
      </c>
      <c r="W96" s="48">
        <f t="shared" si="67"/>
        <v>4.6733428198743034</v>
      </c>
      <c r="X96" s="48">
        <f t="shared" si="67"/>
        <v>3.8336003845537574</v>
      </c>
    </row>
    <row r="97" spans="1:24" ht="15.05" customHeight="1" outlineLevel="1" x14ac:dyDescent="0.35">
      <c r="B97" s="25"/>
      <c r="C97" s="31"/>
      <c r="D97" s="31" t="s">
        <v>144</v>
      </c>
      <c r="E97" s="31"/>
      <c r="F97" s="32">
        <f>Historicals!C100</f>
        <v>57610</v>
      </c>
      <c r="G97" s="32">
        <f>Historicals!D100</f>
        <v>63947</v>
      </c>
      <c r="H97" s="32">
        <f>Historicals!E100</f>
        <v>70820</v>
      </c>
      <c r="I97" s="32">
        <f>Historicals!F100</f>
        <v>74227</v>
      </c>
      <c r="J97" s="32">
        <f>Historicals!G100</f>
        <v>76854</v>
      </c>
      <c r="K97" s="32">
        <f>Historicals!H100</f>
        <v>84772</v>
      </c>
      <c r="L97" s="32">
        <f>Historicals!I100</f>
        <v>86386</v>
      </c>
      <c r="M97" s="32">
        <f>Historicals!J100</f>
        <v>84330</v>
      </c>
      <c r="N97" s="32">
        <f>Historicals!K100</f>
        <v>99856</v>
      </c>
      <c r="O97" s="33"/>
      <c r="P97" s="49"/>
      <c r="Q97" s="49"/>
      <c r="R97" s="49"/>
      <c r="S97" s="49"/>
      <c r="T97" s="49"/>
      <c r="U97" s="49"/>
      <c r="V97" s="49"/>
      <c r="W97" s="50"/>
      <c r="X97" s="50"/>
    </row>
    <row r="98" spans="1:24" ht="15.05" customHeight="1" outlineLevel="1" x14ac:dyDescent="0.35">
      <c r="B98" s="25"/>
      <c r="C98" s="31"/>
      <c r="D98" s="31"/>
      <c r="E98" s="31"/>
      <c r="F98" s="32"/>
      <c r="G98" s="32"/>
      <c r="H98" s="32"/>
      <c r="I98" s="32"/>
      <c r="J98" s="32"/>
      <c r="K98" s="32"/>
      <c r="L98" s="32"/>
      <c r="M98" s="32"/>
      <c r="N98" s="32"/>
      <c r="O98" s="33"/>
      <c r="P98" s="36"/>
      <c r="Q98" s="36"/>
      <c r="R98" s="36"/>
      <c r="S98" s="36"/>
      <c r="T98" s="36"/>
      <c r="U98" s="36"/>
      <c r="V98" s="36"/>
      <c r="W98" s="37"/>
      <c r="X98" s="37"/>
    </row>
    <row r="99" spans="1:24" ht="15.05" customHeight="1" outlineLevel="1" x14ac:dyDescent="0.3">
      <c r="B99" s="238" t="s">
        <v>145</v>
      </c>
      <c r="C99" s="26" t="s">
        <v>102</v>
      </c>
      <c r="D99" s="27" t="s">
        <v>146</v>
      </c>
      <c r="E99" s="26" t="s">
        <v>102</v>
      </c>
      <c r="F99" s="28">
        <f>+F97*365</f>
        <v>21027650</v>
      </c>
      <c r="G99" s="28">
        <f t="shared" ref="G99:N99" si="68">+G97*365</f>
        <v>23340655</v>
      </c>
      <c r="H99" s="28">
        <f t="shared" si="68"/>
        <v>25849300</v>
      </c>
      <c r="I99" s="28">
        <f t="shared" si="68"/>
        <v>27092855</v>
      </c>
      <c r="J99" s="28">
        <f t="shared" si="68"/>
        <v>28051710</v>
      </c>
      <c r="K99" s="28">
        <f t="shared" si="68"/>
        <v>30941780</v>
      </c>
      <c r="L99" s="28">
        <f t="shared" si="68"/>
        <v>31530890</v>
      </c>
      <c r="M99" s="28">
        <f t="shared" si="68"/>
        <v>30780450</v>
      </c>
      <c r="N99" s="28">
        <f t="shared" si="68"/>
        <v>36447440</v>
      </c>
      <c r="O99" s="29" t="s">
        <v>102</v>
      </c>
      <c r="P99" s="240">
        <f t="shared" ref="P99:X99" si="69">IF(F100=0,,F99/F100)</f>
        <v>75.601228162896973</v>
      </c>
      <c r="Q99" s="242">
        <f t="shared" si="69"/>
        <v>74.006864625774853</v>
      </c>
      <c r="R99" s="242">
        <f t="shared" si="69"/>
        <v>80.691562586819913</v>
      </c>
      <c r="S99" s="242">
        <f t="shared" si="69"/>
        <v>76.085999853966214</v>
      </c>
      <c r="T99" s="242">
        <f t="shared" si="69"/>
        <v>81.10735877915566</v>
      </c>
      <c r="U99" s="242">
        <f t="shared" si="69"/>
        <v>80.072304184792316</v>
      </c>
      <c r="V99" s="242">
        <f t="shared" si="69"/>
        <v>78.557184677670506</v>
      </c>
      <c r="W99" s="242">
        <f t="shared" si="69"/>
        <v>78.102551870957598</v>
      </c>
      <c r="X99" s="242">
        <f t="shared" si="69"/>
        <v>95.210758395853802</v>
      </c>
    </row>
    <row r="100" spans="1:24" ht="15.05" customHeight="1" outlineLevel="1" x14ac:dyDescent="0.35">
      <c r="B100" s="25"/>
      <c r="C100" s="31"/>
      <c r="D100" s="31" t="s">
        <v>143</v>
      </c>
      <c r="E100" s="31"/>
      <c r="F100" s="32">
        <f>+F96</f>
        <v>278139</v>
      </c>
      <c r="G100" s="32">
        <f t="shared" ref="G100:N100" si="70">+G96</f>
        <v>315385</v>
      </c>
      <c r="H100" s="32">
        <f t="shared" si="70"/>
        <v>320347</v>
      </c>
      <c r="I100" s="32">
        <f t="shared" si="70"/>
        <v>356082</v>
      </c>
      <c r="J100" s="32">
        <f t="shared" si="70"/>
        <v>345859</v>
      </c>
      <c r="K100" s="32">
        <f t="shared" si="70"/>
        <v>386423</v>
      </c>
      <c r="L100" s="32">
        <f t="shared" si="70"/>
        <v>401375</v>
      </c>
      <c r="M100" s="32">
        <f t="shared" si="70"/>
        <v>394103</v>
      </c>
      <c r="N100" s="32">
        <f t="shared" si="70"/>
        <v>382808</v>
      </c>
      <c r="O100" s="33"/>
      <c r="P100" s="49"/>
      <c r="Q100" s="49"/>
      <c r="R100" s="49"/>
      <c r="S100" s="49"/>
      <c r="T100" s="49"/>
      <c r="U100" s="49"/>
      <c r="V100" s="49"/>
      <c r="W100" s="50"/>
      <c r="X100" s="50"/>
    </row>
    <row r="101" spans="1:24" ht="15.05" customHeight="1" outlineLevel="1" x14ac:dyDescent="0.3">
      <c r="P101" s="46"/>
      <c r="Q101" s="46"/>
      <c r="R101" s="46"/>
      <c r="S101" s="46"/>
      <c r="T101" s="46"/>
      <c r="U101" s="46"/>
      <c r="V101" s="46"/>
      <c r="W101" s="46"/>
      <c r="X101" s="46"/>
    </row>
    <row r="102" spans="1:24" ht="15.05" customHeight="1" outlineLevel="1" x14ac:dyDescent="0.35">
      <c r="B102" s="3" t="s">
        <v>147</v>
      </c>
      <c r="C102" s="26" t="s">
        <v>102</v>
      </c>
      <c r="D102" s="52" t="s">
        <v>148</v>
      </c>
      <c r="E102" s="51" t="s">
        <v>102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40">
        <f>+P87+P93-P99</f>
        <v>399.33881158627753</v>
      </c>
      <c r="Q102" s="242">
        <f t="shared" ref="Q102:W102" si="71">+Q87+Q93-Q99</f>
        <v>355.27181762033717</v>
      </c>
      <c r="R102" s="242">
        <f t="shared" si="71"/>
        <v>373.11935981138254</v>
      </c>
      <c r="S102" s="242">
        <f t="shared" si="71"/>
        <v>333.3467702956525</v>
      </c>
      <c r="T102" s="242">
        <f t="shared" si="71"/>
        <v>334.61359169703007</v>
      </c>
      <c r="U102" s="242">
        <f t="shared" si="71"/>
        <v>299.38180670824403</v>
      </c>
      <c r="V102" s="242">
        <f t="shared" si="71"/>
        <v>297.46547424855237</v>
      </c>
      <c r="W102" s="242">
        <f t="shared" si="71"/>
        <v>287.05367763616596</v>
      </c>
      <c r="X102" s="242">
        <f t="shared" ref="X102" si="72">+X87+X93-X99</f>
        <v>318.58420933313766</v>
      </c>
    </row>
    <row r="103" spans="1:24" ht="15.05" customHeight="1" outlineLevel="1" x14ac:dyDescent="0.3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ht="15.05" customHeight="1" x14ac:dyDescent="0.3">
      <c r="P104" s="46"/>
      <c r="Q104" s="46"/>
      <c r="R104" s="46"/>
      <c r="S104" s="46"/>
      <c r="T104" s="46"/>
      <c r="U104" s="46"/>
      <c r="V104" s="46"/>
      <c r="W104" s="46"/>
      <c r="X104" s="46"/>
    </row>
    <row r="105" spans="1:24" ht="15.05" customHeight="1" x14ac:dyDescent="0.3">
      <c r="A105" t="s">
        <v>90</v>
      </c>
      <c r="B105" s="363" t="s">
        <v>149</v>
      </c>
      <c r="C105" s="364"/>
      <c r="D105" s="365"/>
      <c r="E105" s="366"/>
      <c r="F105" s="367"/>
      <c r="G105" s="367"/>
      <c r="H105" s="367"/>
      <c r="I105" s="367"/>
      <c r="J105" s="367"/>
      <c r="K105" s="367"/>
      <c r="L105" s="367"/>
      <c r="M105" s="367"/>
      <c r="N105" s="367"/>
      <c r="O105" s="367"/>
      <c r="P105" s="367"/>
      <c r="Q105" s="367"/>
      <c r="R105" s="367"/>
      <c r="S105" s="367"/>
      <c r="T105" s="367"/>
      <c r="U105" s="367"/>
      <c r="V105" s="367"/>
      <c r="W105" s="367"/>
      <c r="X105" s="368"/>
    </row>
    <row r="106" spans="1:24" ht="15.05" customHeight="1" outlineLevel="1" x14ac:dyDescent="0.3">
      <c r="B106" s="4" t="s">
        <v>8</v>
      </c>
      <c r="C106" s="14"/>
      <c r="D106" s="15"/>
      <c r="E106" s="15"/>
      <c r="F106" s="16"/>
      <c r="G106" s="16"/>
      <c r="H106" s="16"/>
      <c r="I106" s="16"/>
      <c r="J106" s="16"/>
      <c r="K106" s="16"/>
      <c r="L106" s="16"/>
      <c r="M106" s="16"/>
      <c r="N106" s="16"/>
      <c r="O106" s="17"/>
    </row>
    <row r="107" spans="1:24" ht="15.05" customHeight="1" outlineLevel="1" x14ac:dyDescent="0.3">
      <c r="C107" s="14"/>
      <c r="D107" s="21"/>
      <c r="E107" s="21"/>
      <c r="F107" s="74">
        <f>F67</f>
        <v>45352</v>
      </c>
      <c r="G107" s="74">
        <f t="shared" ref="G107:N107" si="73">G67</f>
        <v>45473</v>
      </c>
      <c r="H107" s="74">
        <f t="shared" si="73"/>
        <v>45565</v>
      </c>
      <c r="I107" s="74">
        <f t="shared" si="73"/>
        <v>45657</v>
      </c>
      <c r="J107" s="74">
        <f t="shared" si="73"/>
        <v>45747</v>
      </c>
      <c r="K107" s="74">
        <f t="shared" si="73"/>
        <v>45838</v>
      </c>
      <c r="L107" s="74">
        <f t="shared" si="73"/>
        <v>45930</v>
      </c>
      <c r="M107" s="74">
        <f t="shared" si="73"/>
        <v>46022</v>
      </c>
      <c r="N107" s="74">
        <f t="shared" si="73"/>
        <v>46112</v>
      </c>
      <c r="O107" s="237"/>
      <c r="P107" s="74">
        <f>+F107</f>
        <v>45352</v>
      </c>
      <c r="Q107" s="74">
        <f>+G107</f>
        <v>45473</v>
      </c>
      <c r="R107" s="74">
        <f>+H107</f>
        <v>45565</v>
      </c>
      <c r="S107" s="74">
        <f>+I107</f>
        <v>45657</v>
      </c>
      <c r="T107" s="74">
        <f>+J107</f>
        <v>45747</v>
      </c>
      <c r="U107" s="74">
        <f>+K107</f>
        <v>45838</v>
      </c>
      <c r="V107" s="74">
        <f>+L107</f>
        <v>45930</v>
      </c>
      <c r="W107" s="74">
        <f>+M107</f>
        <v>46022</v>
      </c>
      <c r="X107" s="74">
        <f>+N107</f>
        <v>46112</v>
      </c>
    </row>
    <row r="108" spans="1:24" ht="15.05" customHeight="1" outlineLevel="1" x14ac:dyDescent="0.35">
      <c r="B108" s="20"/>
      <c r="C108" s="14"/>
      <c r="D108" s="21"/>
      <c r="E108" s="21"/>
      <c r="F108" s="21"/>
      <c r="G108" s="21"/>
      <c r="H108" s="21"/>
      <c r="I108" s="22"/>
      <c r="J108" s="22"/>
      <c r="K108" s="22"/>
      <c r="L108" s="22"/>
      <c r="M108" s="22"/>
      <c r="N108" s="22"/>
      <c r="O108" s="23"/>
      <c r="P108" s="24"/>
      <c r="Q108" s="19"/>
      <c r="R108" s="24"/>
      <c r="S108" s="24"/>
      <c r="T108" s="24"/>
      <c r="U108" s="24"/>
      <c r="V108" s="24"/>
      <c r="W108" s="24"/>
      <c r="X108" s="24"/>
    </row>
    <row r="109" spans="1:24" ht="15.05" customHeight="1" outlineLevel="1" x14ac:dyDescent="0.3">
      <c r="B109" s="20"/>
      <c r="C109" s="14"/>
      <c r="D109" s="21"/>
      <c r="E109" s="21"/>
      <c r="F109" s="21"/>
      <c r="G109" s="21"/>
      <c r="H109" s="21"/>
      <c r="I109" s="17"/>
      <c r="J109" s="17"/>
      <c r="K109" s="17"/>
      <c r="L109" s="17"/>
      <c r="M109" s="17"/>
      <c r="N109" s="17"/>
      <c r="O109" s="17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05" customHeight="1" outlineLevel="1" x14ac:dyDescent="0.3">
      <c r="B110" s="25" t="s">
        <v>150</v>
      </c>
      <c r="C110" s="26" t="s">
        <v>102</v>
      </c>
      <c r="D110" s="27" t="str">
        <f>+D73</f>
        <v>Total Assets</v>
      </c>
      <c r="E110" s="26" t="s">
        <v>102</v>
      </c>
      <c r="F110" s="28">
        <f>F73</f>
        <v>5787891</v>
      </c>
      <c r="G110" s="28">
        <f t="shared" ref="G110:N110" si="74">G73</f>
        <v>5982364</v>
      </c>
      <c r="H110" s="28">
        <f t="shared" si="74"/>
        <v>6165658</v>
      </c>
      <c r="I110" s="28">
        <f t="shared" si="74"/>
        <v>6691938</v>
      </c>
      <c r="J110" s="28">
        <f t="shared" si="74"/>
        <v>7133287</v>
      </c>
      <c r="K110" s="28">
        <f t="shared" si="74"/>
        <v>7006350</v>
      </c>
      <c r="L110" s="28">
        <f t="shared" si="74"/>
        <v>7354107</v>
      </c>
      <c r="M110" s="28">
        <f t="shared" si="74"/>
        <v>7933024</v>
      </c>
      <c r="N110" s="28">
        <f t="shared" si="74"/>
        <v>8660950</v>
      </c>
      <c r="O110" s="29" t="s">
        <v>102</v>
      </c>
      <c r="P110" s="337">
        <f t="shared" ref="P110:X110" si="75">IF(F111=0,,F110/F111)</f>
        <v>1.5919465461150601</v>
      </c>
      <c r="Q110" s="337">
        <f t="shared" si="75"/>
        <v>1.5778760527435358</v>
      </c>
      <c r="R110" s="337">
        <f t="shared" si="75"/>
        <v>1.5452703358054185</v>
      </c>
      <c r="S110" s="337">
        <f t="shared" si="75"/>
        <v>1.5604215415717919</v>
      </c>
      <c r="T110" s="337">
        <f t="shared" si="75"/>
        <v>1.5628908439270999</v>
      </c>
      <c r="U110" s="337">
        <f t="shared" si="75"/>
        <v>1.5294120985602939</v>
      </c>
      <c r="V110" s="337">
        <f t="shared" si="75"/>
        <v>1.4713195888127719</v>
      </c>
      <c r="W110" s="337">
        <f t="shared" si="75"/>
        <v>1.4637666719069096</v>
      </c>
      <c r="X110" s="337">
        <f t="shared" si="75"/>
        <v>1.4702102883061505</v>
      </c>
    </row>
    <row r="111" spans="1:24" ht="15.05" customHeight="1" outlineLevel="1" x14ac:dyDescent="0.35">
      <c r="B111" s="25"/>
      <c r="C111" s="31"/>
      <c r="D111" s="31" t="str">
        <f>+D8</f>
        <v>Equity</v>
      </c>
      <c r="E111" s="31"/>
      <c r="F111" s="32">
        <f>F8</f>
        <v>3635732</v>
      </c>
      <c r="G111" s="32">
        <f>G8</f>
        <v>3791403</v>
      </c>
      <c r="H111" s="32">
        <f>H8</f>
        <v>3990019</v>
      </c>
      <c r="I111" s="32">
        <f>I8</f>
        <v>4288545</v>
      </c>
      <c r="J111" s="32">
        <f>J8</f>
        <v>4564162</v>
      </c>
      <c r="K111" s="32">
        <f>K8</f>
        <v>4581074</v>
      </c>
      <c r="L111" s="32">
        <f>L8</f>
        <v>4998307</v>
      </c>
      <c r="M111" s="32">
        <f>M8</f>
        <v>5419596</v>
      </c>
      <c r="N111" s="32">
        <f>N8</f>
        <v>5890960</v>
      </c>
      <c r="O111" s="33"/>
      <c r="P111" s="49"/>
      <c r="Q111" s="49"/>
      <c r="R111" s="49"/>
      <c r="S111" s="49"/>
      <c r="T111" s="49"/>
      <c r="U111" s="49"/>
      <c r="V111" s="49"/>
      <c r="W111" s="50"/>
      <c r="X111" s="50"/>
    </row>
    <row r="112" spans="1:24" ht="15.05" customHeight="1" outlineLevel="1" x14ac:dyDescent="0.35">
      <c r="B112" s="25"/>
      <c r="C112" s="31"/>
      <c r="D112" s="31"/>
      <c r="E112" s="31"/>
      <c r="F112" s="32"/>
      <c r="G112" s="32"/>
      <c r="H112" s="32"/>
      <c r="I112" s="32"/>
      <c r="J112" s="32"/>
      <c r="K112" s="32"/>
      <c r="L112" s="32"/>
      <c r="M112" s="32"/>
      <c r="N112" s="32"/>
      <c r="O112" s="33"/>
      <c r="P112" s="49"/>
      <c r="Q112" s="49"/>
      <c r="R112" s="49"/>
      <c r="S112" s="49"/>
      <c r="T112" s="49"/>
      <c r="U112" s="49"/>
      <c r="V112" s="49"/>
      <c r="W112" s="50"/>
      <c r="X112" s="50"/>
    </row>
    <row r="113" spans="1:24" ht="15.05" customHeight="1" outlineLevel="1" x14ac:dyDescent="0.3">
      <c r="B113" s="25" t="s">
        <v>151</v>
      </c>
      <c r="C113" s="26" t="s">
        <v>102</v>
      </c>
      <c r="D113" s="27" t="s">
        <v>26</v>
      </c>
      <c r="E113" s="26" t="s">
        <v>102</v>
      </c>
      <c r="F113" s="28">
        <f>Historicals!C112</f>
        <v>2122175</v>
      </c>
      <c r="G113" s="28">
        <f>Historicals!D112</f>
        <v>2162216</v>
      </c>
      <c r="H113" s="28">
        <f>Historicals!E112</f>
        <v>2143736</v>
      </c>
      <c r="I113" s="28">
        <f>Historicals!F112</f>
        <v>2368362</v>
      </c>
      <c r="J113" s="28">
        <f>Historicals!G112</f>
        <v>2531663</v>
      </c>
      <c r="K113" s="28">
        <f>Historicals!H112</f>
        <v>2389718</v>
      </c>
      <c r="L113" s="28">
        <f>Historicals!I112</f>
        <v>2318529</v>
      </c>
      <c r="M113" s="28">
        <f>Historicals!J112</f>
        <v>2472229</v>
      </c>
      <c r="N113" s="28">
        <f>Historicals!K112</f>
        <v>2728561</v>
      </c>
      <c r="O113" s="29" t="s">
        <v>102</v>
      </c>
      <c r="P113" s="337">
        <f t="shared" ref="P113:X113" si="76">IF(F114=0,,F113/F114)</f>
        <v>0.58369951360551331</v>
      </c>
      <c r="Q113" s="337">
        <f t="shared" si="76"/>
        <v>0.57029442662782093</v>
      </c>
      <c r="R113" s="337">
        <f t="shared" si="76"/>
        <v>0.53727463453181556</v>
      </c>
      <c r="S113" s="337">
        <f t="shared" si="76"/>
        <v>0.55225303686914795</v>
      </c>
      <c r="T113" s="337">
        <f t="shared" si="76"/>
        <v>0.5546829845215836</v>
      </c>
      <c r="U113" s="337">
        <f t="shared" si="76"/>
        <v>0.52165016325865943</v>
      </c>
      <c r="V113" s="337">
        <f t="shared" si="76"/>
        <v>0.46386286396573878</v>
      </c>
      <c r="W113" s="337">
        <f t="shared" si="76"/>
        <v>0.45616481376102574</v>
      </c>
      <c r="X113" s="337">
        <f t="shared" si="76"/>
        <v>0.46317764846476633</v>
      </c>
    </row>
    <row r="114" spans="1:24" ht="15.05" customHeight="1" outlineLevel="1" x14ac:dyDescent="0.35">
      <c r="B114" s="25"/>
      <c r="C114" s="31"/>
      <c r="D114" s="31" t="str">
        <f>+D111</f>
        <v>Equity</v>
      </c>
      <c r="E114" s="31"/>
      <c r="F114" s="32">
        <f>+F111</f>
        <v>3635732</v>
      </c>
      <c r="G114" s="32">
        <f t="shared" ref="G114:N114" si="77">+G111</f>
        <v>3791403</v>
      </c>
      <c r="H114" s="32">
        <f t="shared" si="77"/>
        <v>3990019</v>
      </c>
      <c r="I114" s="32">
        <f t="shared" si="77"/>
        <v>4288545</v>
      </c>
      <c r="J114" s="32">
        <f t="shared" si="77"/>
        <v>4564162</v>
      </c>
      <c r="K114" s="32">
        <f t="shared" si="77"/>
        <v>4581074</v>
      </c>
      <c r="L114" s="32">
        <f t="shared" si="77"/>
        <v>4998307</v>
      </c>
      <c r="M114" s="32">
        <f t="shared" si="77"/>
        <v>5419596</v>
      </c>
      <c r="N114" s="32">
        <f t="shared" si="77"/>
        <v>5890960</v>
      </c>
      <c r="O114" s="33"/>
      <c r="P114" s="49"/>
      <c r="Q114" s="49"/>
      <c r="R114" s="49"/>
      <c r="S114" s="49"/>
      <c r="T114" s="49"/>
      <c r="U114" s="49"/>
      <c r="V114" s="49"/>
      <c r="W114" s="50"/>
      <c r="X114" s="50"/>
    </row>
    <row r="115" spans="1:24" ht="15.05" customHeight="1" outlineLevel="1" x14ac:dyDescent="0.3">
      <c r="P115" s="46"/>
      <c r="Q115" s="46"/>
      <c r="R115" s="46"/>
      <c r="S115" s="46"/>
      <c r="T115" s="46"/>
      <c r="U115" s="46"/>
      <c r="V115" s="46"/>
      <c r="W115" s="46"/>
      <c r="X115" s="46"/>
    </row>
    <row r="116" spans="1:24" ht="15.05" customHeight="1" outlineLevel="1" x14ac:dyDescent="0.3">
      <c r="B116" s="238" t="s">
        <v>152</v>
      </c>
      <c r="C116" s="26" t="s">
        <v>102</v>
      </c>
      <c r="D116" s="27" t="s">
        <v>153</v>
      </c>
      <c r="E116" s="26" t="s">
        <v>102</v>
      </c>
      <c r="F116" s="28">
        <f>Historicals!C142</f>
        <v>978060.13199999998</v>
      </c>
      <c r="G116" s="28">
        <f>Historicals!D142</f>
        <v>997419.76500000001</v>
      </c>
      <c r="H116" s="28">
        <f>Historicals!E142</f>
        <v>994968.67700000003</v>
      </c>
      <c r="I116" s="28">
        <f>Historicals!F142</f>
        <v>1018286.3859999999</v>
      </c>
      <c r="J116" s="28">
        <f>Historicals!G142</f>
        <v>1048755.925</v>
      </c>
      <c r="K116" s="28">
        <f>Historicals!H142</f>
        <v>977885</v>
      </c>
      <c r="L116" s="28">
        <f>Historicals!I142</f>
        <v>994454.50100000005</v>
      </c>
      <c r="M116" s="28">
        <f>Historicals!J142</f>
        <v>1032988.496</v>
      </c>
      <c r="N116" s="28">
        <f>Historicals!K142</f>
        <v>1057259.672</v>
      </c>
      <c r="O116" s="29" t="s">
        <v>102</v>
      </c>
      <c r="P116" s="336">
        <f t="shared" ref="P116:X116" si="78">IF(F117=0,,F116/F117)</f>
        <v>0.26901326390394009</v>
      </c>
      <c r="Q116" s="336">
        <f t="shared" si="78"/>
        <v>0.26307405596292455</v>
      </c>
      <c r="R116" s="336">
        <f t="shared" si="78"/>
        <v>0.24936439575851643</v>
      </c>
      <c r="S116" s="336">
        <f t="shared" si="78"/>
        <v>0.23744332541689547</v>
      </c>
      <c r="T116" s="336">
        <f t="shared" si="78"/>
        <v>0.22978060923341459</v>
      </c>
      <c r="U116" s="336">
        <f t="shared" si="78"/>
        <v>0.21346195237186738</v>
      </c>
      <c r="V116" s="336">
        <f t="shared" si="78"/>
        <v>0.19895826746936512</v>
      </c>
      <c r="W116" s="336">
        <f t="shared" si="78"/>
        <v>0.19060249066535587</v>
      </c>
      <c r="X116" s="336">
        <f t="shared" si="78"/>
        <v>0.17947154148050573</v>
      </c>
    </row>
    <row r="117" spans="1:24" ht="15.05" customHeight="1" outlineLevel="1" x14ac:dyDescent="0.35">
      <c r="B117" s="25"/>
      <c r="C117" s="31"/>
      <c r="D117" s="31" t="str">
        <f>+D114</f>
        <v>Equity</v>
      </c>
      <c r="E117" s="31"/>
      <c r="F117" s="32">
        <f>+F114</f>
        <v>3635732</v>
      </c>
      <c r="G117" s="32">
        <f t="shared" ref="G117:N117" si="79">+G114</f>
        <v>3791403</v>
      </c>
      <c r="H117" s="32">
        <f t="shared" si="79"/>
        <v>3990019</v>
      </c>
      <c r="I117" s="32">
        <f t="shared" si="79"/>
        <v>4288545</v>
      </c>
      <c r="J117" s="32">
        <f t="shared" si="79"/>
        <v>4564162</v>
      </c>
      <c r="K117" s="32">
        <f t="shared" si="79"/>
        <v>4581074</v>
      </c>
      <c r="L117" s="32">
        <f t="shared" si="79"/>
        <v>4998307</v>
      </c>
      <c r="M117" s="32">
        <f t="shared" si="79"/>
        <v>5419596</v>
      </c>
      <c r="N117" s="32">
        <f t="shared" si="79"/>
        <v>5890960</v>
      </c>
      <c r="O117" s="33"/>
      <c r="P117" s="49"/>
      <c r="Q117" s="49"/>
      <c r="R117" s="49"/>
      <c r="S117" s="49"/>
      <c r="T117" s="49"/>
      <c r="U117" s="49"/>
      <c r="V117" s="49"/>
      <c r="W117" s="50"/>
      <c r="X117" s="50"/>
    </row>
    <row r="118" spans="1:24" ht="15.05" customHeight="1" outlineLevel="1" x14ac:dyDescent="0.3">
      <c r="P118" s="46"/>
      <c r="Q118" s="46"/>
      <c r="R118" s="46"/>
      <c r="S118" s="46"/>
      <c r="T118" s="46"/>
      <c r="U118" s="46"/>
      <c r="V118" s="46"/>
      <c r="W118" s="46"/>
      <c r="X118" s="46"/>
    </row>
    <row r="119" spans="1:24" ht="15.05" customHeight="1" outlineLevel="1" x14ac:dyDescent="0.3">
      <c r="B119" s="25" t="s">
        <v>502</v>
      </c>
      <c r="C119" s="26" t="s">
        <v>102</v>
      </c>
      <c r="D119" s="27" t="s">
        <v>153</v>
      </c>
      <c r="E119" s="26" t="s">
        <v>102</v>
      </c>
      <c r="F119" s="28">
        <f>+F116</f>
        <v>978060.13199999998</v>
      </c>
      <c r="G119" s="28">
        <f t="shared" ref="G119:N119" si="80">+G116</f>
        <v>997419.76500000001</v>
      </c>
      <c r="H119" s="28">
        <f t="shared" si="80"/>
        <v>994968.67700000003</v>
      </c>
      <c r="I119" s="28">
        <f t="shared" si="80"/>
        <v>1018286.3859999999</v>
      </c>
      <c r="J119" s="28">
        <f t="shared" si="80"/>
        <v>1048755.925</v>
      </c>
      <c r="K119" s="28">
        <f t="shared" si="80"/>
        <v>977885</v>
      </c>
      <c r="L119" s="28">
        <f t="shared" si="80"/>
        <v>994454.50100000005</v>
      </c>
      <c r="M119" s="28">
        <f t="shared" si="80"/>
        <v>1032988.496</v>
      </c>
      <c r="N119" s="28">
        <f t="shared" si="80"/>
        <v>1057259.672</v>
      </c>
      <c r="O119" s="29" t="s">
        <v>102</v>
      </c>
      <c r="P119" s="337">
        <f t="shared" ref="P119:X119" si="81">IF(F120=0,,F119/F120)</f>
        <v>3.9276684095125654</v>
      </c>
      <c r="Q119" s="337">
        <f t="shared" si="81"/>
        <v>3.480714991136113</v>
      </c>
      <c r="R119" s="337">
        <f t="shared" si="81"/>
        <v>2.7579336107061088</v>
      </c>
      <c r="S119" s="337">
        <f t="shared" si="81"/>
        <v>2.3919551106026828</v>
      </c>
      <c r="T119" s="337">
        <f t="shared" si="81"/>
        <v>2.5762831598625335</v>
      </c>
      <c r="U119" s="337">
        <f t="shared" si="81"/>
        <v>2.1101348012506933</v>
      </c>
      <c r="V119" s="337">
        <f t="shared" si="81"/>
        <v>1.9861879245433756</v>
      </c>
      <c r="W119" s="337">
        <f t="shared" si="81"/>
        <v>1.8286121617339615</v>
      </c>
      <c r="X119" s="337">
        <f t="shared" si="81"/>
        <v>1.6044221887016934</v>
      </c>
    </row>
    <row r="120" spans="1:24" ht="15.05" customHeight="1" outlineLevel="1" x14ac:dyDescent="0.35">
      <c r="B120" s="25"/>
      <c r="C120" s="31"/>
      <c r="D120" s="31" t="s">
        <v>115</v>
      </c>
      <c r="E120" s="31"/>
      <c r="F120" s="32">
        <f>Historicals!C135</f>
        <v>249018</v>
      </c>
      <c r="G120" s="32">
        <f>Historicals!D135</f>
        <v>286556</v>
      </c>
      <c r="H120" s="32">
        <f>Historicals!E135</f>
        <v>360766</v>
      </c>
      <c r="I120" s="32">
        <f>Historicals!F135</f>
        <v>425713</v>
      </c>
      <c r="J120" s="32">
        <f>Historicals!G135</f>
        <v>407081</v>
      </c>
      <c r="K120" s="32">
        <f>Historicals!H135</f>
        <v>463423</v>
      </c>
      <c r="L120" s="32">
        <f>Historicals!I135</f>
        <v>500685</v>
      </c>
      <c r="M120" s="32">
        <f>Historicals!J135</f>
        <v>564903</v>
      </c>
      <c r="N120" s="32">
        <f>Historicals!K135</f>
        <v>658966</v>
      </c>
      <c r="O120" s="33"/>
      <c r="P120" s="49"/>
      <c r="Q120" s="49"/>
      <c r="R120" s="49"/>
      <c r="S120" s="49"/>
      <c r="T120" s="49"/>
      <c r="U120" s="49"/>
      <c r="V120" s="49"/>
      <c r="W120" s="50"/>
      <c r="X120" s="50"/>
    </row>
    <row r="121" spans="1:24" ht="15.05" customHeight="1" outlineLevel="1" x14ac:dyDescent="0.35">
      <c r="B121" s="25"/>
      <c r="C121" s="31"/>
      <c r="D121" s="31"/>
      <c r="E121" s="31"/>
      <c r="F121" s="32"/>
      <c r="G121" s="32"/>
      <c r="H121" s="32"/>
      <c r="I121" s="32"/>
      <c r="J121" s="32"/>
      <c r="K121" s="32"/>
      <c r="L121" s="32"/>
      <c r="M121" s="32"/>
      <c r="N121" s="32"/>
      <c r="O121" s="33"/>
      <c r="P121" s="49"/>
      <c r="Q121" s="49"/>
      <c r="R121" s="49"/>
      <c r="S121" s="49"/>
      <c r="T121" s="49"/>
      <c r="U121" s="49"/>
      <c r="V121" s="49"/>
      <c r="W121" s="50"/>
      <c r="X121" s="50"/>
    </row>
    <row r="122" spans="1:24" ht="15.05" customHeight="1" outlineLevel="1" x14ac:dyDescent="0.3">
      <c r="B122" s="238" t="s">
        <v>494</v>
      </c>
      <c r="C122" s="26" t="s">
        <v>102</v>
      </c>
      <c r="D122" s="27" t="s">
        <v>495</v>
      </c>
      <c r="E122" s="26" t="s">
        <v>102</v>
      </c>
      <c r="F122" s="28">
        <f>'Key Ratios &amp; Metrics'!F79-'Key Ratios &amp; Metrics'!F119</f>
        <v>720135.86800000002</v>
      </c>
      <c r="G122" s="28">
        <f>'Key Ratios &amp; Metrics'!G79-'Key Ratios &amp; Metrics'!G119</f>
        <v>801707.23499999999</v>
      </c>
      <c r="H122" s="28">
        <f>'Key Ratios &amp; Metrics'!H79-'Key Ratios &amp; Metrics'!H119</f>
        <v>891812.32299999997</v>
      </c>
      <c r="I122" s="28">
        <f>'Key Ratios &amp; Metrics'!I79-'Key Ratios &amp; Metrics'!I119</f>
        <v>1109340.6140000001</v>
      </c>
      <c r="J122" s="28">
        <f>'Key Ratios &amp; Metrics'!J79-'Key Ratios &amp; Metrics'!J119</f>
        <v>1346048.075</v>
      </c>
      <c r="K122" s="28">
        <f>'Key Ratios &amp; Metrics'!K79-'Key Ratios &amp; Metrics'!K119</f>
        <v>1386639</v>
      </c>
      <c r="L122" s="28">
        <f>'Key Ratios &amp; Metrics'!L79-'Key Ratios &amp; Metrics'!L119</f>
        <v>1476304.4989999998</v>
      </c>
      <c r="M122" s="28">
        <f>'Key Ratios &amp; Metrics'!M79-'Key Ratios &amp; Metrics'!M119</f>
        <v>1734867.504</v>
      </c>
      <c r="N122" s="28">
        <f>'Key Ratios &amp; Metrics'!N79-'Key Ratios &amp; Metrics'!N119</f>
        <v>1978377.328</v>
      </c>
      <c r="O122" s="29" t="s">
        <v>102</v>
      </c>
      <c r="P122" s="243">
        <f t="shared" ref="P122:X122" si="82">IF(F123=0,,F122/F123)</f>
        <v>2.8919028664594526</v>
      </c>
      <c r="Q122" s="243">
        <f t="shared" si="82"/>
        <v>2.7977332004913524</v>
      </c>
      <c r="R122" s="243">
        <f t="shared" si="82"/>
        <v>2.4719965933596848</v>
      </c>
      <c r="S122" s="243">
        <f t="shared" si="82"/>
        <v>2.605841527038169</v>
      </c>
      <c r="T122" s="243">
        <f t="shared" si="82"/>
        <v>3.3065853601617365</v>
      </c>
      <c r="U122" s="243">
        <f t="shared" si="82"/>
        <v>2.9921669835118241</v>
      </c>
      <c r="V122" s="243">
        <f t="shared" si="82"/>
        <v>2.9485694578427553</v>
      </c>
      <c r="W122" s="243">
        <f t="shared" si="82"/>
        <v>3.071089202925104</v>
      </c>
      <c r="X122" s="243">
        <f t="shared" si="82"/>
        <v>3.0022449231068067</v>
      </c>
    </row>
    <row r="123" spans="1:24" ht="15.05" customHeight="1" outlineLevel="1" x14ac:dyDescent="0.35">
      <c r="B123" s="25"/>
      <c r="C123" s="31"/>
      <c r="D123" s="31" t="s">
        <v>115</v>
      </c>
      <c r="E123" s="31"/>
      <c r="F123" s="32">
        <f>+F120</f>
        <v>249018</v>
      </c>
      <c r="G123" s="32">
        <f t="shared" ref="G123:N123" si="83">+G120</f>
        <v>286556</v>
      </c>
      <c r="H123" s="32">
        <f t="shared" si="83"/>
        <v>360766</v>
      </c>
      <c r="I123" s="32">
        <f t="shared" si="83"/>
        <v>425713</v>
      </c>
      <c r="J123" s="32">
        <f t="shared" si="83"/>
        <v>407081</v>
      </c>
      <c r="K123" s="32">
        <f t="shared" si="83"/>
        <v>463423</v>
      </c>
      <c r="L123" s="32">
        <f t="shared" si="83"/>
        <v>500685</v>
      </c>
      <c r="M123" s="32">
        <f t="shared" si="83"/>
        <v>564903</v>
      </c>
      <c r="N123" s="32">
        <f t="shared" si="83"/>
        <v>658966</v>
      </c>
      <c r="O123" s="33"/>
      <c r="P123" s="49"/>
      <c r="Q123" s="49"/>
      <c r="R123" s="49"/>
      <c r="S123" s="49"/>
      <c r="T123" s="49"/>
      <c r="U123" s="49"/>
      <c r="V123" s="49"/>
      <c r="W123" s="50"/>
      <c r="X123" s="50"/>
    </row>
    <row r="124" spans="1:24" ht="15.05" customHeight="1" outlineLevel="1" x14ac:dyDescent="0.3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ht="15.05" customHeight="1" x14ac:dyDescent="0.3">
      <c r="P125" s="46"/>
      <c r="Q125" s="46"/>
      <c r="R125" s="46"/>
      <c r="S125" s="46"/>
      <c r="T125" s="46"/>
      <c r="U125" s="46"/>
      <c r="V125" s="46"/>
      <c r="W125" s="46"/>
    </row>
    <row r="126" spans="1:24" ht="15.05" customHeight="1" x14ac:dyDescent="0.3">
      <c r="A126" t="s">
        <v>90</v>
      </c>
      <c r="B126" s="363" t="s">
        <v>154</v>
      </c>
      <c r="C126" s="364"/>
      <c r="D126" s="365"/>
      <c r="E126" s="366"/>
      <c r="F126" s="367"/>
      <c r="G126" s="367"/>
      <c r="H126" s="367"/>
      <c r="I126" s="367"/>
      <c r="J126" s="367"/>
      <c r="K126" s="367"/>
      <c r="L126" s="367"/>
      <c r="M126" s="367"/>
      <c r="N126" s="367"/>
      <c r="O126" s="367"/>
      <c r="P126" s="367"/>
      <c r="Q126" s="367"/>
      <c r="R126" s="367"/>
      <c r="S126" s="367"/>
      <c r="T126" s="367"/>
      <c r="U126" s="367"/>
      <c r="V126" s="367"/>
      <c r="W126" s="367"/>
      <c r="X126" s="368"/>
    </row>
    <row r="127" spans="1:24" ht="15.05" customHeight="1" outlineLevel="1" x14ac:dyDescent="0.3">
      <c r="B127" s="4" t="s">
        <v>8</v>
      </c>
      <c r="C127" s="14"/>
      <c r="D127" s="15"/>
      <c r="E127" s="15"/>
      <c r="F127" s="16"/>
      <c r="G127" s="16"/>
      <c r="H127" s="16"/>
      <c r="I127" s="16"/>
      <c r="J127" s="16"/>
      <c r="K127" s="16"/>
      <c r="L127" s="16"/>
      <c r="M127" s="16"/>
      <c r="N127" s="16"/>
      <c r="O127" s="17"/>
    </row>
    <row r="128" spans="1:24" ht="15.05" customHeight="1" outlineLevel="1" x14ac:dyDescent="0.3">
      <c r="C128" s="14"/>
      <c r="D128" s="21"/>
      <c r="E128" s="21"/>
      <c r="F128" s="74">
        <f>F107</f>
        <v>45352</v>
      </c>
      <c r="G128" s="74">
        <f t="shared" ref="G128:N128" si="84">G107</f>
        <v>45473</v>
      </c>
      <c r="H128" s="74">
        <f t="shared" si="84"/>
        <v>45565</v>
      </c>
      <c r="I128" s="74">
        <f t="shared" si="84"/>
        <v>45657</v>
      </c>
      <c r="J128" s="74">
        <f t="shared" si="84"/>
        <v>45747</v>
      </c>
      <c r="K128" s="74">
        <f t="shared" si="84"/>
        <v>45838</v>
      </c>
      <c r="L128" s="74">
        <f t="shared" si="84"/>
        <v>45930</v>
      </c>
      <c r="M128" s="74">
        <f t="shared" si="84"/>
        <v>46022</v>
      </c>
      <c r="N128" s="74">
        <f t="shared" si="84"/>
        <v>46112</v>
      </c>
      <c r="O128" s="237"/>
      <c r="P128" s="74">
        <f>+F128</f>
        <v>45352</v>
      </c>
      <c r="Q128" s="74">
        <f>+G128</f>
        <v>45473</v>
      </c>
      <c r="R128" s="74">
        <f>+H128</f>
        <v>45565</v>
      </c>
      <c r="S128" s="74">
        <f>+I128</f>
        <v>45657</v>
      </c>
      <c r="T128" s="74">
        <f>+J128</f>
        <v>45747</v>
      </c>
      <c r="U128" s="74">
        <f>+K128</f>
        <v>45838</v>
      </c>
      <c r="V128" s="74">
        <f>+L128</f>
        <v>45930</v>
      </c>
      <c r="W128" s="74">
        <f>+M128</f>
        <v>46022</v>
      </c>
      <c r="X128" s="74">
        <f>+N128</f>
        <v>46112</v>
      </c>
    </row>
    <row r="129" spans="1:24" ht="15.05" customHeight="1" outlineLevel="1" x14ac:dyDescent="0.35">
      <c r="B129" s="20"/>
      <c r="C129" s="14"/>
      <c r="D129" s="21"/>
      <c r="E129" s="21"/>
      <c r="F129" s="21"/>
      <c r="G129" s="21"/>
      <c r="H129" s="21"/>
      <c r="I129" s="22"/>
      <c r="J129" s="22"/>
      <c r="K129" s="22"/>
      <c r="L129" s="22"/>
      <c r="M129" s="22"/>
      <c r="N129" s="22"/>
      <c r="O129" s="23"/>
      <c r="P129" s="24"/>
      <c r="Q129" s="19"/>
      <c r="R129" s="24"/>
      <c r="S129" s="24"/>
      <c r="T129" s="24"/>
      <c r="U129" s="24"/>
      <c r="V129" s="24"/>
      <c r="W129" s="24"/>
      <c r="X129" s="24"/>
    </row>
    <row r="130" spans="1:24" ht="15.05" customHeight="1" outlineLevel="1" x14ac:dyDescent="0.3">
      <c r="B130" s="20"/>
      <c r="C130" s="14"/>
      <c r="D130" s="21"/>
      <c r="E130" s="21"/>
      <c r="F130" s="21"/>
      <c r="G130" s="21"/>
      <c r="H130" s="21"/>
      <c r="I130" s="17"/>
      <c r="J130" s="17"/>
      <c r="K130" s="17"/>
      <c r="L130" s="17"/>
      <c r="M130" s="17"/>
      <c r="N130" s="17"/>
      <c r="O130" s="17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1:24" ht="15.05" customHeight="1" outlineLevel="1" x14ac:dyDescent="0.3">
      <c r="B131" s="238" t="s">
        <v>155</v>
      </c>
      <c r="C131" s="26" t="s">
        <v>102</v>
      </c>
      <c r="D131" s="27" t="s">
        <v>1</v>
      </c>
      <c r="E131" s="26" t="s">
        <v>102</v>
      </c>
      <c r="F131" s="28">
        <f>Historicals!C88</f>
        <v>2452767</v>
      </c>
      <c r="G131" s="28">
        <f>Historicals!D88</f>
        <v>2591658</v>
      </c>
      <c r="H131" s="28">
        <f>Historicals!E88</f>
        <v>2773914</v>
      </c>
      <c r="I131" s="28">
        <f>Historicals!F88</f>
        <v>3088352</v>
      </c>
      <c r="J131" s="28">
        <f>Historicals!G88</f>
        <v>3345664</v>
      </c>
      <c r="K131" s="28">
        <f>Historicals!H88</f>
        <v>3264918</v>
      </c>
      <c r="L131" s="28">
        <f>Historicals!I88</f>
        <v>3436015</v>
      </c>
      <c r="M131" s="28">
        <f>Historicals!J88</f>
        <v>3817131</v>
      </c>
      <c r="N131" s="28">
        <f>Historicals!K88</f>
        <v>4265512</v>
      </c>
      <c r="O131" s="29" t="s">
        <v>102</v>
      </c>
      <c r="P131" s="243">
        <f t="shared" ref="P131:X131" si="85">IF(F132=0,,F131/F132)</f>
        <v>2.3901917792200198</v>
      </c>
      <c r="Q131" s="243">
        <f t="shared" si="85"/>
        <v>2.4707965175476398</v>
      </c>
      <c r="R131" s="243">
        <f t="shared" si="85"/>
        <v>2.5674903438451904</v>
      </c>
      <c r="S131" s="243">
        <f t="shared" si="85"/>
        <v>2.4423020501769441</v>
      </c>
      <c r="T131" s="243">
        <f t="shared" si="85"/>
        <v>2.3900963206965553</v>
      </c>
      <c r="U131" s="243">
        <f t="shared" si="85"/>
        <v>2.3704964880920398</v>
      </c>
      <c r="V131" s="243">
        <f t="shared" si="85"/>
        <v>2.6930001112934652</v>
      </c>
      <c r="W131" s="243">
        <f t="shared" si="85"/>
        <v>2.6180255538508073</v>
      </c>
      <c r="X131" s="243">
        <f t="shared" si="85"/>
        <v>2.4882613661686075</v>
      </c>
    </row>
    <row r="132" spans="1:24" ht="15.05" customHeight="1" outlineLevel="1" x14ac:dyDescent="0.35">
      <c r="B132" s="25"/>
      <c r="C132" s="31"/>
      <c r="D132" s="31" t="s">
        <v>156</v>
      </c>
      <c r="E132" s="31"/>
      <c r="F132" s="32">
        <f>Historicals!C105</f>
        <v>1026180</v>
      </c>
      <c r="G132" s="32">
        <f>Historicals!D105</f>
        <v>1048916</v>
      </c>
      <c r="H132" s="32">
        <f>Historicals!E105</f>
        <v>1080399</v>
      </c>
      <c r="I132" s="32">
        <f>Historicals!F105</f>
        <v>1264525</v>
      </c>
      <c r="J132" s="32">
        <f>Historicals!G105</f>
        <v>1399803</v>
      </c>
      <c r="K132" s="32">
        <f>Historicals!H105</f>
        <v>1377314</v>
      </c>
      <c r="L132" s="32">
        <f>Historicals!I105</f>
        <v>1275906</v>
      </c>
      <c r="M132" s="32">
        <f>Historicals!J105</f>
        <v>1458019</v>
      </c>
      <c r="N132" s="32">
        <f>Historicals!K105</f>
        <v>1714254</v>
      </c>
      <c r="O132" s="33"/>
      <c r="P132" s="49"/>
      <c r="Q132" s="49"/>
      <c r="R132" s="49"/>
      <c r="S132" s="49"/>
      <c r="T132" s="49"/>
      <c r="U132" s="49"/>
      <c r="V132" s="49"/>
      <c r="W132" s="50"/>
      <c r="X132" s="50"/>
    </row>
    <row r="133" spans="1:24" ht="15.05" customHeight="1" outlineLevel="1" x14ac:dyDescent="0.35">
      <c r="B133" s="25"/>
      <c r="C133" s="31"/>
      <c r="D133" s="31"/>
      <c r="E133" s="31"/>
      <c r="F133" s="32"/>
      <c r="G133" s="32"/>
      <c r="H133" s="32"/>
      <c r="I133" s="32"/>
      <c r="J133" s="32"/>
      <c r="K133" s="32"/>
      <c r="L133" s="32"/>
      <c r="M133" s="32"/>
      <c r="N133" s="32"/>
      <c r="O133" s="33"/>
      <c r="P133" s="49"/>
      <c r="Q133" s="49"/>
      <c r="R133" s="49"/>
      <c r="S133" s="49"/>
      <c r="T133" s="49"/>
      <c r="U133" s="49"/>
      <c r="V133" s="49"/>
      <c r="W133" s="50"/>
      <c r="X133" s="50"/>
    </row>
    <row r="134" spans="1:24" ht="15.05" customHeight="1" outlineLevel="1" x14ac:dyDescent="0.3">
      <c r="B134" s="238" t="s">
        <v>157</v>
      </c>
      <c r="C134" s="26" t="s">
        <v>102</v>
      </c>
      <c r="D134" s="27" t="s">
        <v>158</v>
      </c>
      <c r="E134" s="26" t="s">
        <v>102</v>
      </c>
      <c r="F134" s="28">
        <f>F131-F91</f>
        <v>2185644</v>
      </c>
      <c r="G134" s="28">
        <f t="shared" ref="G134:N134" si="86">G131-G91</f>
        <v>2319167</v>
      </c>
      <c r="H134" s="28">
        <f t="shared" si="86"/>
        <v>2481030</v>
      </c>
      <c r="I134" s="28">
        <f t="shared" si="86"/>
        <v>2800483</v>
      </c>
      <c r="J134" s="28">
        <f t="shared" si="86"/>
        <v>3052276</v>
      </c>
      <c r="K134" s="28">
        <f t="shared" si="86"/>
        <v>2960724</v>
      </c>
      <c r="L134" s="28">
        <f t="shared" si="86"/>
        <v>3147326</v>
      </c>
      <c r="M134" s="28">
        <f t="shared" si="86"/>
        <v>3529021</v>
      </c>
      <c r="N134" s="28">
        <f t="shared" si="86"/>
        <v>3954058</v>
      </c>
      <c r="O134" s="29" t="s">
        <v>102</v>
      </c>
      <c r="P134" s="243">
        <f t="shared" ref="P134:X134" si="87">IF(F135=0,,F134/F135)</f>
        <v>2.1298836461439512</v>
      </c>
      <c r="Q134" s="243">
        <f t="shared" si="87"/>
        <v>2.211013083983846</v>
      </c>
      <c r="R134" s="243">
        <f t="shared" si="87"/>
        <v>2.2964016071840128</v>
      </c>
      <c r="S134" s="243">
        <f t="shared" si="87"/>
        <v>2.2146521421086969</v>
      </c>
      <c r="T134" s="243">
        <f t="shared" si="87"/>
        <v>2.1805039709159075</v>
      </c>
      <c r="U134" s="243">
        <f t="shared" si="87"/>
        <v>2.1496361759192166</v>
      </c>
      <c r="V134" s="243">
        <f t="shared" si="87"/>
        <v>2.4667381452865649</v>
      </c>
      <c r="W134" s="243">
        <f t="shared" si="87"/>
        <v>2.420421818920055</v>
      </c>
      <c r="X134" s="243">
        <f t="shared" si="87"/>
        <v>2.3065765049986759</v>
      </c>
    </row>
    <row r="135" spans="1:24" ht="15.05" customHeight="1" outlineLevel="1" x14ac:dyDescent="0.35">
      <c r="B135" s="25"/>
      <c r="C135" s="31"/>
      <c r="D135" s="31" t="str">
        <f>+D132</f>
        <v>Current Liabilities</v>
      </c>
      <c r="E135" s="31"/>
      <c r="F135" s="32">
        <f>+F132</f>
        <v>1026180</v>
      </c>
      <c r="G135" s="32">
        <f t="shared" ref="G135:N135" si="88">+G132</f>
        <v>1048916</v>
      </c>
      <c r="H135" s="32">
        <f t="shared" si="88"/>
        <v>1080399</v>
      </c>
      <c r="I135" s="32">
        <f t="shared" si="88"/>
        <v>1264525</v>
      </c>
      <c r="J135" s="32">
        <f t="shared" si="88"/>
        <v>1399803</v>
      </c>
      <c r="K135" s="32">
        <f t="shared" si="88"/>
        <v>1377314</v>
      </c>
      <c r="L135" s="32">
        <f t="shared" si="88"/>
        <v>1275906</v>
      </c>
      <c r="M135" s="32">
        <f t="shared" si="88"/>
        <v>1458019</v>
      </c>
      <c r="N135" s="32">
        <f t="shared" si="88"/>
        <v>1714254</v>
      </c>
      <c r="O135" s="33"/>
      <c r="P135" s="49"/>
      <c r="Q135" s="49"/>
      <c r="R135" s="49"/>
      <c r="S135" s="49"/>
      <c r="T135" s="49"/>
      <c r="U135" s="49"/>
      <c r="V135" s="49"/>
      <c r="W135" s="50"/>
      <c r="X135" s="50"/>
    </row>
    <row r="136" spans="1:24" ht="15.05" customHeight="1" outlineLevel="1" x14ac:dyDescent="0.3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ht="15.05" customHeight="1" outlineLevel="1" x14ac:dyDescent="0.3">
      <c r="P137" s="46"/>
      <c r="Q137" s="46"/>
      <c r="R137" s="46"/>
      <c r="S137" s="46"/>
      <c r="T137" s="46"/>
      <c r="U137" s="46"/>
      <c r="V137" s="46"/>
      <c r="W137" s="46"/>
    </row>
    <row r="138" spans="1:24" ht="15.05" customHeight="1" outlineLevel="1" x14ac:dyDescent="0.3">
      <c r="A138" t="s">
        <v>90</v>
      </c>
      <c r="B138" s="363" t="s">
        <v>159</v>
      </c>
      <c r="C138" s="364"/>
      <c r="D138" s="365"/>
      <c r="E138" s="366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67"/>
      <c r="R138" s="367"/>
      <c r="S138" s="367"/>
      <c r="T138" s="367"/>
      <c r="U138" s="367"/>
      <c r="V138" s="367"/>
      <c r="W138" s="367"/>
      <c r="X138" s="368"/>
    </row>
    <row r="139" spans="1:24" ht="15.05" customHeight="1" x14ac:dyDescent="0.3">
      <c r="B139" s="4" t="s">
        <v>8</v>
      </c>
      <c r="C139" s="14"/>
      <c r="D139" s="15"/>
      <c r="E139" s="15"/>
      <c r="F139" s="16"/>
      <c r="G139" s="16"/>
      <c r="H139" s="16"/>
      <c r="I139" s="16"/>
      <c r="J139" s="16"/>
      <c r="K139" s="16"/>
      <c r="L139" s="16"/>
      <c r="M139" s="16"/>
      <c r="N139" s="16"/>
      <c r="O139" s="17"/>
    </row>
    <row r="140" spans="1:24" ht="15.05" customHeight="1" x14ac:dyDescent="0.3">
      <c r="C140" s="14"/>
      <c r="D140" s="21"/>
      <c r="E140" s="21"/>
      <c r="F140" s="74">
        <f>F128</f>
        <v>45352</v>
      </c>
      <c r="G140" s="74">
        <f>G128</f>
        <v>45473</v>
      </c>
      <c r="H140" s="74">
        <f>H128</f>
        <v>45565</v>
      </c>
      <c r="I140" s="74">
        <f>I128</f>
        <v>45657</v>
      </c>
      <c r="J140" s="74">
        <f>J128</f>
        <v>45747</v>
      </c>
      <c r="K140" s="74">
        <f>K128</f>
        <v>45838</v>
      </c>
      <c r="L140" s="74">
        <f>L128</f>
        <v>45930</v>
      </c>
      <c r="M140" s="74">
        <f>M128</f>
        <v>46022</v>
      </c>
      <c r="N140" s="74">
        <f>N128</f>
        <v>46112</v>
      </c>
      <c r="O140" s="237"/>
      <c r="P140" s="74">
        <f>+F140</f>
        <v>45352</v>
      </c>
      <c r="Q140" s="74">
        <f>+G140</f>
        <v>45473</v>
      </c>
      <c r="R140" s="74">
        <f>+H140</f>
        <v>45565</v>
      </c>
      <c r="S140" s="74">
        <f>+I140</f>
        <v>45657</v>
      </c>
      <c r="T140" s="74">
        <f>+J140</f>
        <v>45747</v>
      </c>
      <c r="U140" s="74">
        <f>+K140</f>
        <v>45838</v>
      </c>
      <c r="V140" s="74">
        <f>+L140</f>
        <v>45930</v>
      </c>
      <c r="W140" s="74">
        <f>+M140</f>
        <v>46022</v>
      </c>
      <c r="X140" s="74">
        <f>+N140</f>
        <v>46112</v>
      </c>
    </row>
    <row r="141" spans="1:24" ht="15.05" customHeight="1" outlineLevel="1" x14ac:dyDescent="0.35">
      <c r="B141" s="20"/>
      <c r="C141" s="14"/>
      <c r="D141" s="21"/>
      <c r="E141" s="21"/>
      <c r="F141" s="21"/>
      <c r="G141" s="21"/>
      <c r="H141" s="21"/>
      <c r="I141" s="22"/>
      <c r="J141" s="22"/>
      <c r="K141" s="22"/>
      <c r="L141" s="22"/>
      <c r="M141" s="22"/>
      <c r="N141" s="22"/>
      <c r="O141" s="23"/>
      <c r="P141" s="24"/>
      <c r="Q141" s="19"/>
      <c r="R141" s="24"/>
      <c r="S141" s="24"/>
      <c r="T141" s="24"/>
      <c r="U141" s="24"/>
      <c r="V141" s="24"/>
      <c r="W141" s="24"/>
      <c r="X141" s="24"/>
    </row>
    <row r="142" spans="1:24" ht="15.05" customHeight="1" outlineLevel="1" x14ac:dyDescent="0.3">
      <c r="B142" s="20"/>
      <c r="C142" s="14"/>
      <c r="D142" s="21"/>
      <c r="E142" s="21"/>
      <c r="F142" s="21"/>
      <c r="G142" s="21"/>
      <c r="H142" s="21"/>
      <c r="I142" s="17"/>
      <c r="J142" s="17"/>
      <c r="K142" s="17"/>
      <c r="L142" s="17"/>
      <c r="M142" s="17"/>
      <c r="N142" s="17"/>
      <c r="O142" s="17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ht="15.05" customHeight="1" outlineLevel="1" x14ac:dyDescent="0.35">
      <c r="B143" s="238" t="s">
        <v>160</v>
      </c>
      <c r="C143" s="26" t="s">
        <v>102</v>
      </c>
      <c r="D143" s="27" t="s">
        <v>161</v>
      </c>
      <c r="E143" s="26" t="s">
        <v>102</v>
      </c>
      <c r="G143" s="28">
        <f>Historicals!D4-Historicals!C4</f>
        <v>80866</v>
      </c>
      <c r="H143" s="28">
        <f>Historicals!E4-Historicals!D4</f>
        <v>86182</v>
      </c>
      <c r="I143" s="28">
        <f>Historicals!F4-Historicals!E4</f>
        <v>108769</v>
      </c>
      <c r="J143" s="28">
        <f>Historicals!G4-Historicals!F4</f>
        <v>-29207</v>
      </c>
      <c r="K143" s="28">
        <f>Historicals!H4-Historicals!G4</f>
        <v>94538</v>
      </c>
      <c r="L143" s="28">
        <f>Historicals!I4-Historicals!H4</f>
        <v>56126</v>
      </c>
      <c r="M143" s="28">
        <f>Historicals!J4-Historicals!I4</f>
        <v>56172</v>
      </c>
      <c r="N143" s="28">
        <f>Historicals!K4-Historicals!J4</f>
        <v>88013</v>
      </c>
      <c r="O143" s="29" t="s">
        <v>102</v>
      </c>
      <c r="P143" s="24"/>
      <c r="Q143" s="73">
        <f t="shared" ref="Q143:X143" si="89">IF(G144=0,,G143/G144)</f>
        <v>0.13644953800257828</v>
      </c>
      <c r="R143" s="244">
        <f t="shared" si="89"/>
        <v>0.1279594957758608</v>
      </c>
      <c r="S143" s="244">
        <f t="shared" si="89"/>
        <v>0.14317512886801492</v>
      </c>
      <c r="T143" s="244">
        <f t="shared" si="89"/>
        <v>-3.3630756015526314E-2</v>
      </c>
      <c r="U143" s="244">
        <f t="shared" si="89"/>
        <v>0.1126452778300729</v>
      </c>
      <c r="V143" s="244">
        <f t="shared" si="89"/>
        <v>6.0105462458448992E-2</v>
      </c>
      <c r="W143" s="244">
        <f t="shared" si="89"/>
        <v>5.6744093955256897E-2</v>
      </c>
      <c r="X143" s="244">
        <f t="shared" si="89"/>
        <v>8.4135208251680069E-2</v>
      </c>
    </row>
    <row r="144" spans="1:24" ht="15.05" customHeight="1" outlineLevel="1" x14ac:dyDescent="0.3">
      <c r="B144" s="25"/>
      <c r="C144" s="31"/>
      <c r="D144" s="31" t="s">
        <v>162</v>
      </c>
      <c r="E144" s="31"/>
      <c r="G144" s="32">
        <f>Historicals!C4</f>
        <v>592644</v>
      </c>
      <c r="H144" s="32">
        <f>Historicals!D4</f>
        <v>673510</v>
      </c>
      <c r="I144" s="32">
        <f>Historicals!E4</f>
        <v>759692</v>
      </c>
      <c r="J144" s="32">
        <f>Historicals!F4</f>
        <v>868461</v>
      </c>
      <c r="K144" s="32">
        <f>Historicals!G4</f>
        <v>839254</v>
      </c>
      <c r="L144" s="32">
        <f>Historicals!H4</f>
        <v>933792</v>
      </c>
      <c r="M144" s="32">
        <f>Historicals!I4</f>
        <v>989918</v>
      </c>
      <c r="N144" s="32">
        <f>Historicals!J4</f>
        <v>1046090</v>
      </c>
      <c r="O144" s="33"/>
      <c r="P144" s="49"/>
      <c r="Q144" s="30"/>
      <c r="R144" s="30"/>
      <c r="S144" s="30"/>
      <c r="T144" s="30"/>
      <c r="U144" s="30"/>
      <c r="V144" s="30"/>
      <c r="W144" s="30"/>
      <c r="X144" s="30"/>
    </row>
    <row r="145" spans="2:24" ht="15.05" customHeight="1" outlineLevel="1" x14ac:dyDescent="0.3">
      <c r="B145" s="25"/>
      <c r="C145" s="31"/>
      <c r="D145" s="31"/>
      <c r="E145" s="31"/>
      <c r="G145" s="32"/>
      <c r="H145" s="32"/>
      <c r="I145" s="32"/>
      <c r="J145" s="32"/>
      <c r="K145" s="32"/>
      <c r="L145" s="32"/>
      <c r="M145" s="32"/>
      <c r="N145" s="32"/>
      <c r="O145" s="33"/>
      <c r="P145" s="49"/>
      <c r="Q145" s="30"/>
      <c r="R145" s="30"/>
      <c r="S145" s="30"/>
      <c r="T145" s="30"/>
      <c r="U145" s="30"/>
      <c r="V145" s="30"/>
      <c r="W145" s="30"/>
      <c r="X145" s="30"/>
    </row>
    <row r="146" spans="2:24" ht="15.05" customHeight="1" outlineLevel="1" x14ac:dyDescent="0.3">
      <c r="B146" s="238" t="s">
        <v>163</v>
      </c>
      <c r="C146" s="26" t="s">
        <v>102</v>
      </c>
      <c r="D146" s="27" t="s">
        <v>164</v>
      </c>
      <c r="E146" s="26" t="s">
        <v>102</v>
      </c>
      <c r="G146" s="28">
        <f>Historicals!D15-Historicals!C15</f>
        <v>37538</v>
      </c>
      <c r="H146" s="28">
        <f>Historicals!E15-Historicals!D15</f>
        <v>74210</v>
      </c>
      <c r="I146" s="28">
        <f>Historicals!F15-Historicals!E15</f>
        <v>64947</v>
      </c>
      <c r="J146" s="28">
        <f>Historicals!G15-Historicals!F15</f>
        <v>-18632</v>
      </c>
      <c r="K146" s="28">
        <f>Historicals!H15-Historicals!G15</f>
        <v>56342</v>
      </c>
      <c r="L146" s="28">
        <f>Historicals!I15-Historicals!H15</f>
        <v>37262</v>
      </c>
      <c r="M146" s="28">
        <f>Historicals!J15-Historicals!I15</f>
        <v>64218</v>
      </c>
      <c r="N146" s="28">
        <f>Historicals!K15-Historicals!J15</f>
        <v>94063</v>
      </c>
      <c r="O146" s="29" t="s">
        <v>102</v>
      </c>
      <c r="P146" s="53"/>
      <c r="Q146" s="73">
        <f t="shared" ref="Q146:X146" si="90">IF(G147=0,,G146/G147)</f>
        <v>0.15074412291480938</v>
      </c>
      <c r="R146" s="73">
        <f t="shared" si="90"/>
        <v>0.25897206828682701</v>
      </c>
      <c r="S146" s="73">
        <f t="shared" si="90"/>
        <v>0.18002527954408121</v>
      </c>
      <c r="T146" s="73">
        <f t="shared" si="90"/>
        <v>-4.3766575133951748E-2</v>
      </c>
      <c r="U146" s="73">
        <f t="shared" si="90"/>
        <v>0.138404887479396</v>
      </c>
      <c r="V146" s="73">
        <f t="shared" si="90"/>
        <v>8.0406022143916039E-2</v>
      </c>
      <c r="W146" s="73">
        <f t="shared" si="90"/>
        <v>0.12826028341172593</v>
      </c>
      <c r="X146" s="73">
        <f t="shared" si="90"/>
        <v>0.16651177281763418</v>
      </c>
    </row>
    <row r="147" spans="2:24" ht="15.05" customHeight="1" outlineLevel="1" x14ac:dyDescent="0.3">
      <c r="B147" s="25"/>
      <c r="C147" s="31"/>
      <c r="D147" s="31" t="s">
        <v>165</v>
      </c>
      <c r="E147" s="31"/>
      <c r="G147" s="32">
        <f>Historicals!C15</f>
        <v>249018</v>
      </c>
      <c r="H147" s="32">
        <f>Historicals!D15</f>
        <v>286556</v>
      </c>
      <c r="I147" s="32">
        <f>Historicals!E15</f>
        <v>360766</v>
      </c>
      <c r="J147" s="32">
        <f>Historicals!F15</f>
        <v>425713</v>
      </c>
      <c r="K147" s="32">
        <f>Historicals!G15</f>
        <v>407081</v>
      </c>
      <c r="L147" s="32">
        <f>Historicals!H15</f>
        <v>463423</v>
      </c>
      <c r="M147" s="32">
        <f>Historicals!I15</f>
        <v>500685</v>
      </c>
      <c r="N147" s="32">
        <f>Historicals!J15</f>
        <v>564903</v>
      </c>
      <c r="O147" s="33"/>
      <c r="P147" s="49"/>
      <c r="Q147" s="30"/>
      <c r="R147" s="30"/>
      <c r="S147" s="30"/>
      <c r="T147" s="30"/>
      <c r="U147" s="30"/>
      <c r="V147" s="30"/>
      <c r="W147" s="30"/>
      <c r="X147" s="30"/>
    </row>
    <row r="148" spans="2:24" ht="15.05" customHeight="1" outlineLevel="1" x14ac:dyDescent="0.3">
      <c r="B148" s="25"/>
      <c r="C148" s="31"/>
      <c r="D148" s="31"/>
      <c r="E148" s="31"/>
      <c r="G148" s="32"/>
      <c r="H148" s="32"/>
      <c r="I148" s="32"/>
      <c r="J148" s="32"/>
      <c r="K148" s="32"/>
      <c r="L148" s="32"/>
      <c r="M148" s="32"/>
      <c r="N148" s="32"/>
      <c r="O148" s="33"/>
      <c r="P148" s="49"/>
      <c r="Q148" s="30"/>
      <c r="R148" s="30"/>
      <c r="S148" s="30"/>
      <c r="T148" s="30"/>
      <c r="U148" s="30"/>
      <c r="V148" s="30"/>
      <c r="W148" s="30"/>
      <c r="X148" s="30"/>
    </row>
    <row r="149" spans="2:24" ht="15.05" customHeight="1" outlineLevel="1" x14ac:dyDescent="0.3">
      <c r="B149" s="238" t="s">
        <v>166</v>
      </c>
      <c r="C149" s="26" t="s">
        <v>102</v>
      </c>
      <c r="D149" s="27" t="s">
        <v>167</v>
      </c>
      <c r="E149" s="26" t="s">
        <v>102</v>
      </c>
      <c r="G149" s="28">
        <f>Historicals!D27-Historicals!C27</f>
        <v>22441</v>
      </c>
      <c r="H149" s="28">
        <f>Historicals!E27-Historicals!D27</f>
        <v>77418</v>
      </c>
      <c r="I149" s="28">
        <f>Historicals!F27-Historicals!E27</f>
        <v>49389</v>
      </c>
      <c r="J149" s="28">
        <f>Historicals!G27-Historicals!F27</f>
        <v>-13736</v>
      </c>
      <c r="K149" s="28">
        <f>Historicals!H27-Historicals!G27</f>
        <v>36760</v>
      </c>
      <c r="L149" s="28">
        <f>Historicals!I27-Historicals!H27</f>
        <v>54262</v>
      </c>
      <c r="M149" s="28">
        <f>Historicals!J27-Historicals!I27</f>
        <v>53661</v>
      </c>
      <c r="N149" s="28">
        <f>Historicals!K27-Historicals!J27</f>
        <v>67064</v>
      </c>
      <c r="O149" s="29" t="s">
        <v>102</v>
      </c>
      <c r="P149" s="53"/>
      <c r="Q149" s="73">
        <f t="shared" ref="Q149:X149" si="91">IF(G150=0,,G149/G150)</f>
        <v>9.9639909244697428E-2</v>
      </c>
      <c r="R149" s="73">
        <f t="shared" si="91"/>
        <v>0.3125953921069845</v>
      </c>
      <c r="S149" s="73">
        <f t="shared" si="91"/>
        <v>0.15192875599852343</v>
      </c>
      <c r="T149" s="73">
        <f t="shared" si="91"/>
        <v>-3.6681274017341892E-2</v>
      </c>
      <c r="U149" s="73">
        <f t="shared" si="91"/>
        <v>0.10190362401000186</v>
      </c>
      <c r="V149" s="73">
        <f t="shared" si="91"/>
        <v>0.13651058006052938</v>
      </c>
      <c r="W149" s="73">
        <f t="shared" si="91"/>
        <v>0.11878341136235349</v>
      </c>
      <c r="X149" s="73">
        <f t="shared" si="91"/>
        <v>0.13269069439827785</v>
      </c>
    </row>
    <row r="150" spans="2:24" ht="15.05" customHeight="1" outlineLevel="1" x14ac:dyDescent="0.3">
      <c r="B150" s="25"/>
      <c r="C150" s="31"/>
      <c r="D150" s="31" t="s">
        <v>168</v>
      </c>
      <c r="E150" s="31"/>
      <c r="G150" s="32">
        <f>Historicals!C27</f>
        <v>225221</v>
      </c>
      <c r="H150" s="32">
        <f>Historicals!D27</f>
        <v>247662</v>
      </c>
      <c r="I150" s="32">
        <f>Historicals!E27</f>
        <v>325080</v>
      </c>
      <c r="J150" s="32">
        <f>Historicals!F27</f>
        <v>374469</v>
      </c>
      <c r="K150" s="32">
        <f>Historicals!G27</f>
        <v>360733</v>
      </c>
      <c r="L150" s="32">
        <f>Historicals!H27</f>
        <v>397493</v>
      </c>
      <c r="M150" s="32">
        <f>Historicals!I27</f>
        <v>451755</v>
      </c>
      <c r="N150" s="32">
        <f>Historicals!J27</f>
        <v>505416</v>
      </c>
      <c r="O150" s="33"/>
      <c r="P150" s="49"/>
      <c r="Q150" s="30"/>
      <c r="R150" s="30"/>
      <c r="S150" s="30"/>
      <c r="T150" s="30"/>
      <c r="U150" s="30"/>
      <c r="V150" s="30"/>
      <c r="W150" s="30"/>
      <c r="X150" s="30"/>
    </row>
    <row r="151" spans="2:24" ht="15.05" customHeight="1" outlineLevel="1" x14ac:dyDescent="0.3">
      <c r="B151" s="25"/>
      <c r="C151" s="31"/>
      <c r="D151" s="31"/>
      <c r="E151" s="31"/>
      <c r="G151" s="32"/>
      <c r="H151" s="32"/>
      <c r="I151" s="32"/>
      <c r="J151" s="32"/>
      <c r="K151" s="32"/>
      <c r="L151" s="32"/>
      <c r="M151" s="32"/>
      <c r="N151" s="32"/>
      <c r="O151" s="33"/>
      <c r="P151" s="49"/>
      <c r="Q151" s="30"/>
      <c r="R151" s="30"/>
      <c r="S151" s="30"/>
      <c r="T151" s="30"/>
      <c r="U151" s="30"/>
      <c r="V151" s="30"/>
      <c r="W151" s="30"/>
      <c r="X151" s="30"/>
    </row>
    <row r="152" spans="2:24" ht="15.05" customHeight="1" outlineLevel="1" x14ac:dyDescent="0.3">
      <c r="B152" s="25" t="s">
        <v>169</v>
      </c>
      <c r="C152" s="26" t="s">
        <v>102</v>
      </c>
      <c r="D152" s="27" t="s">
        <v>170</v>
      </c>
      <c r="E152" s="26" t="s">
        <v>102</v>
      </c>
      <c r="G152" s="28">
        <f>Historicals!D96-Historicals!C96</f>
        <v>194473</v>
      </c>
      <c r="H152" s="28">
        <f>Historicals!E96-Historicals!D96</f>
        <v>183294</v>
      </c>
      <c r="I152" s="28">
        <f>Historicals!F96-Historicals!E96</f>
        <v>526280</v>
      </c>
      <c r="J152" s="28">
        <f>Historicals!G96-Historicals!F96</f>
        <v>441349</v>
      </c>
      <c r="K152" s="28">
        <f>Historicals!H96-Historicals!G96</f>
        <v>-126937</v>
      </c>
      <c r="L152" s="28">
        <f>Historicals!I96-Historicals!H96</f>
        <v>347757</v>
      </c>
      <c r="M152" s="28">
        <f>Historicals!J96-Historicals!I96</f>
        <v>578917</v>
      </c>
      <c r="N152" s="28">
        <f>Historicals!K96-Historicals!J96</f>
        <v>727926</v>
      </c>
      <c r="O152" s="29" t="s">
        <v>102</v>
      </c>
      <c r="P152" s="53"/>
      <c r="Q152" s="30">
        <f t="shared" ref="Q152:X152" si="92">IF(G153=0,,G152/G153)</f>
        <v>3.3599976226228172E-2</v>
      </c>
      <c r="R152" s="30">
        <f t="shared" si="92"/>
        <v>3.0639058405673745E-2</v>
      </c>
      <c r="S152" s="30">
        <f t="shared" si="92"/>
        <v>8.5356664284655423E-2</v>
      </c>
      <c r="T152" s="30">
        <f t="shared" si="92"/>
        <v>6.5952344447901337E-2</v>
      </c>
      <c r="U152" s="30">
        <f t="shared" si="92"/>
        <v>-1.7795022126545587E-2</v>
      </c>
      <c r="V152" s="30">
        <f t="shared" si="92"/>
        <v>4.9634545804877007E-2</v>
      </c>
      <c r="W152" s="30">
        <f t="shared" si="92"/>
        <v>7.8720230749974127E-2</v>
      </c>
      <c r="X152" s="30">
        <f t="shared" si="92"/>
        <v>9.1758955979460044E-2</v>
      </c>
    </row>
    <row r="153" spans="2:24" ht="15.05" customHeight="1" outlineLevel="1" x14ac:dyDescent="0.35">
      <c r="B153" s="25"/>
      <c r="C153" s="31"/>
      <c r="D153" s="31" t="s">
        <v>171</v>
      </c>
      <c r="E153" s="31"/>
      <c r="G153" s="32">
        <f>Historicals!C96</f>
        <v>5787891</v>
      </c>
      <c r="H153" s="32">
        <f>Historicals!D96</f>
        <v>5982364</v>
      </c>
      <c r="I153" s="32">
        <f>Historicals!E96</f>
        <v>6165658</v>
      </c>
      <c r="J153" s="32">
        <f>Historicals!F96</f>
        <v>6691938</v>
      </c>
      <c r="K153" s="32">
        <f>Historicals!G96</f>
        <v>7133287</v>
      </c>
      <c r="L153" s="32">
        <f>Historicals!H96</f>
        <v>7006350</v>
      </c>
      <c r="M153" s="32">
        <f>Historicals!I96</f>
        <v>7354107</v>
      </c>
      <c r="N153" s="32">
        <f>Historicals!J96</f>
        <v>7933024</v>
      </c>
      <c r="O153" s="33"/>
      <c r="P153" s="49"/>
      <c r="Q153" s="49"/>
      <c r="R153" s="49"/>
      <c r="S153" s="49"/>
      <c r="T153" s="49"/>
      <c r="U153" s="49"/>
      <c r="V153" s="49"/>
      <c r="W153" s="50"/>
      <c r="X153" s="50"/>
    </row>
    <row r="154" spans="2:24" ht="15.05" customHeight="1" outlineLevel="1" x14ac:dyDescent="0.35">
      <c r="B154" s="25"/>
      <c r="C154" s="31"/>
      <c r="D154" s="31"/>
      <c r="E154" s="31"/>
      <c r="G154" s="32"/>
      <c r="H154" s="32"/>
      <c r="I154" s="32"/>
      <c r="J154" s="32"/>
      <c r="K154" s="32"/>
      <c r="L154" s="32"/>
      <c r="M154" s="32"/>
      <c r="N154" s="32"/>
      <c r="O154" s="33"/>
      <c r="P154" s="49"/>
      <c r="Q154" s="54"/>
      <c r="R154" s="49"/>
      <c r="S154" s="49"/>
      <c r="T154" s="49"/>
      <c r="U154" s="49"/>
      <c r="V154" s="49"/>
      <c r="W154" s="50"/>
      <c r="X154" s="50"/>
    </row>
    <row r="155" spans="2:24" ht="15.05" customHeight="1" outlineLevel="1" x14ac:dyDescent="0.3">
      <c r="B155" s="238" t="s">
        <v>172</v>
      </c>
      <c r="C155" s="26" t="s">
        <v>102</v>
      </c>
      <c r="D155" s="27" t="s">
        <v>173</v>
      </c>
      <c r="E155" s="26" t="s">
        <v>102</v>
      </c>
      <c r="G155" s="55">
        <f>+Q146</f>
        <v>0.15074412291480938</v>
      </c>
      <c r="H155" s="55">
        <f t="shared" ref="H155:N155" si="93">+R146</f>
        <v>0.25897206828682701</v>
      </c>
      <c r="I155" s="55">
        <f t="shared" si="93"/>
        <v>0.18002527954408121</v>
      </c>
      <c r="J155" s="55">
        <f t="shared" si="93"/>
        <v>-4.3766575133951748E-2</v>
      </c>
      <c r="K155" s="55">
        <f t="shared" si="93"/>
        <v>0.138404887479396</v>
      </c>
      <c r="L155" s="55">
        <f t="shared" si="93"/>
        <v>8.0406022143916039E-2</v>
      </c>
      <c r="M155" s="55">
        <f t="shared" si="93"/>
        <v>0.12826028341172593</v>
      </c>
      <c r="N155" s="55">
        <f t="shared" si="93"/>
        <v>0.16651177281763418</v>
      </c>
      <c r="O155" s="29" t="s">
        <v>102</v>
      </c>
      <c r="P155" s="53"/>
      <c r="Q155" s="243">
        <f t="shared" ref="Q155:X155" si="94">IF(G156=0,,G155/G156)</f>
        <v>1.1047609623417045</v>
      </c>
      <c r="R155" s="243">
        <f t="shared" si="94"/>
        <v>2.0238597121424524</v>
      </c>
      <c r="S155" s="243">
        <f t="shared" si="94"/>
        <v>1.2573781561603228</v>
      </c>
      <c r="T155" s="243">
        <f t="shared" si="94"/>
        <v>1.3013854078613645</v>
      </c>
      <c r="U155" s="243">
        <f t="shared" si="94"/>
        <v>1.2286790014241153</v>
      </c>
      <c r="V155" s="243">
        <f t="shared" si="94"/>
        <v>1.3377489974309882</v>
      </c>
      <c r="W155" s="243">
        <f t="shared" si="94"/>
        <v>2.2603283350133325</v>
      </c>
      <c r="X155" s="243">
        <f t="shared" si="94"/>
        <v>1.9790974109142847</v>
      </c>
    </row>
    <row r="156" spans="2:24" ht="15.05" customHeight="1" outlineLevel="1" x14ac:dyDescent="0.35">
      <c r="B156" s="25"/>
      <c r="C156" s="31"/>
      <c r="D156" s="31" t="s">
        <v>174</v>
      </c>
      <c r="E156" s="31"/>
      <c r="G156" s="56">
        <f>+Q143</f>
        <v>0.13644953800257828</v>
      </c>
      <c r="H156" s="56">
        <f>+R143</f>
        <v>0.1279594957758608</v>
      </c>
      <c r="I156" s="56">
        <f>+S143</f>
        <v>0.14317512886801492</v>
      </c>
      <c r="J156" s="56">
        <f>+T143</f>
        <v>-3.3630756015526314E-2</v>
      </c>
      <c r="K156" s="56">
        <f>+U143</f>
        <v>0.1126452778300729</v>
      </c>
      <c r="L156" s="56">
        <f>+V143</f>
        <v>6.0105462458448992E-2</v>
      </c>
      <c r="M156" s="56">
        <f>+W143</f>
        <v>5.6744093955256897E-2</v>
      </c>
      <c r="N156" s="56">
        <f>+X143</f>
        <v>8.4135208251680069E-2</v>
      </c>
      <c r="O156" s="33"/>
      <c r="P156" s="49"/>
      <c r="Q156" s="54"/>
      <c r="R156" s="49"/>
      <c r="S156" s="49"/>
      <c r="T156" s="49"/>
      <c r="U156" s="49"/>
      <c r="V156" s="49"/>
      <c r="W156" s="50"/>
      <c r="X156" s="50"/>
    </row>
    <row r="157" spans="2:24" ht="15.05" customHeight="1" outlineLevel="1" x14ac:dyDescent="0.35">
      <c r="B157" s="25"/>
      <c r="C157" s="31"/>
      <c r="D157" s="42"/>
      <c r="E157" s="31"/>
      <c r="G157" s="56"/>
      <c r="H157" s="56"/>
      <c r="I157" s="56"/>
      <c r="J157" s="56"/>
      <c r="K157" s="56"/>
      <c r="L157" s="56"/>
      <c r="M157" s="56"/>
      <c r="N157" s="56"/>
      <c r="O157" s="33"/>
      <c r="P157" s="49"/>
      <c r="Q157" s="54"/>
      <c r="R157" s="49"/>
      <c r="S157" s="49"/>
      <c r="T157" s="49"/>
      <c r="U157" s="49"/>
      <c r="V157" s="49"/>
      <c r="W157" s="50"/>
      <c r="X157" s="50"/>
    </row>
    <row r="158" spans="2:24" ht="15.05" customHeight="1" outlineLevel="1" x14ac:dyDescent="0.3">
      <c r="B158" s="25" t="s">
        <v>175</v>
      </c>
      <c r="C158" s="26" t="s">
        <v>102</v>
      </c>
      <c r="D158" s="27" t="s">
        <v>176</v>
      </c>
      <c r="E158" s="26" t="s">
        <v>102</v>
      </c>
      <c r="G158" s="55">
        <f>+Q149</f>
        <v>9.9639909244697428E-2</v>
      </c>
      <c r="H158" s="55">
        <f t="shared" ref="H158:N158" si="95">+R149</f>
        <v>0.3125953921069845</v>
      </c>
      <c r="I158" s="55">
        <f t="shared" si="95"/>
        <v>0.15192875599852343</v>
      </c>
      <c r="J158" s="55">
        <f t="shared" si="95"/>
        <v>-3.6681274017341892E-2</v>
      </c>
      <c r="K158" s="55">
        <f t="shared" si="95"/>
        <v>0.10190362401000186</v>
      </c>
      <c r="L158" s="55">
        <f t="shared" si="95"/>
        <v>0.13651058006052938</v>
      </c>
      <c r="M158" s="55">
        <f t="shared" si="95"/>
        <v>0.11878341136235349</v>
      </c>
      <c r="N158" s="55">
        <f t="shared" si="95"/>
        <v>0.13269069439827785</v>
      </c>
      <c r="O158" s="29" t="s">
        <v>102</v>
      </c>
      <c r="P158" s="53"/>
      <c r="Q158" s="48">
        <f t="shared" ref="Q158:X158" si="96">IF(G159=0,,G158/G159)</f>
        <v>0.6609870243565471</v>
      </c>
      <c r="R158" s="48">
        <f t="shared" si="96"/>
        <v>1.207062190818071</v>
      </c>
      <c r="S158" s="48">
        <f t="shared" si="96"/>
        <v>0.84393012127678424</v>
      </c>
      <c r="T158" s="48">
        <f t="shared" si="96"/>
        <v>0.83811159326667395</v>
      </c>
      <c r="U158" s="48">
        <f t="shared" si="96"/>
        <v>0.73627186052350935</v>
      </c>
      <c r="V158" s="48">
        <f t="shared" si="96"/>
        <v>1.697765620293884</v>
      </c>
      <c r="W158" s="48">
        <f t="shared" si="96"/>
        <v>0.92611218533682071</v>
      </c>
      <c r="X158" s="48">
        <f t="shared" si="96"/>
        <v>0.79688476167749644</v>
      </c>
    </row>
    <row r="159" spans="2:24" ht="15.05" customHeight="1" outlineLevel="1" x14ac:dyDescent="0.35">
      <c r="B159" s="25"/>
      <c r="C159" s="31"/>
      <c r="D159" s="31" t="s">
        <v>177</v>
      </c>
      <c r="E159" s="31"/>
      <c r="G159" s="57">
        <f>+G155</f>
        <v>0.15074412291480938</v>
      </c>
      <c r="H159" s="57">
        <f t="shared" ref="H159:N159" si="97">+H155</f>
        <v>0.25897206828682701</v>
      </c>
      <c r="I159" s="57">
        <f t="shared" si="97"/>
        <v>0.18002527954408121</v>
      </c>
      <c r="J159" s="57">
        <f t="shared" si="97"/>
        <v>-4.3766575133951748E-2</v>
      </c>
      <c r="K159" s="57">
        <f t="shared" si="97"/>
        <v>0.138404887479396</v>
      </c>
      <c r="L159" s="57">
        <f t="shared" si="97"/>
        <v>8.0406022143916039E-2</v>
      </c>
      <c r="M159" s="57">
        <f t="shared" si="97"/>
        <v>0.12826028341172593</v>
      </c>
      <c r="N159" s="57">
        <f t="shared" si="97"/>
        <v>0.16651177281763418</v>
      </c>
      <c r="O159" s="33"/>
      <c r="P159" s="49"/>
      <c r="Q159" s="54"/>
      <c r="R159" s="49"/>
      <c r="S159" s="49"/>
      <c r="T159" s="49"/>
      <c r="U159" s="49"/>
      <c r="V159" s="49"/>
      <c r="W159" s="50"/>
      <c r="X159" s="50"/>
    </row>
    <row r="160" spans="2:24" ht="15.05" customHeight="1" outlineLevel="1" x14ac:dyDescent="0.35">
      <c r="B160" s="25"/>
      <c r="C160" s="31"/>
      <c r="D160" s="42"/>
      <c r="E160" s="31"/>
      <c r="G160" s="56"/>
      <c r="H160" s="56"/>
      <c r="I160" s="56"/>
      <c r="J160" s="56"/>
      <c r="K160" s="56"/>
      <c r="L160" s="56"/>
      <c r="M160" s="56"/>
      <c r="N160" s="56"/>
      <c r="O160" s="33"/>
      <c r="P160" s="49"/>
      <c r="Q160" s="54"/>
      <c r="R160" s="49"/>
      <c r="S160" s="49"/>
      <c r="T160" s="49"/>
      <c r="U160" s="49"/>
      <c r="V160" s="49"/>
      <c r="W160" s="50"/>
      <c r="X160" s="50"/>
    </row>
    <row r="161" spans="1:27" ht="15.05" customHeight="1" outlineLevel="1" x14ac:dyDescent="0.3">
      <c r="B161" s="238" t="s">
        <v>178</v>
      </c>
      <c r="C161" s="26" t="s">
        <v>102</v>
      </c>
      <c r="D161" s="27" t="s">
        <v>176</v>
      </c>
      <c r="E161" s="26" t="s">
        <v>102</v>
      </c>
      <c r="G161" s="55">
        <f>+G158</f>
        <v>9.9639909244697428E-2</v>
      </c>
      <c r="H161" s="55">
        <f t="shared" ref="H161:N161" si="98">+H158</f>
        <v>0.3125953921069845</v>
      </c>
      <c r="I161" s="55">
        <f t="shared" si="98"/>
        <v>0.15192875599852343</v>
      </c>
      <c r="J161" s="55">
        <f t="shared" si="98"/>
        <v>-3.6681274017341892E-2</v>
      </c>
      <c r="K161" s="55">
        <f t="shared" si="98"/>
        <v>0.10190362401000186</v>
      </c>
      <c r="L161" s="55">
        <f t="shared" si="98"/>
        <v>0.13651058006052938</v>
      </c>
      <c r="M161" s="55">
        <f t="shared" si="98"/>
        <v>0.11878341136235349</v>
      </c>
      <c r="N161" s="55">
        <f t="shared" si="98"/>
        <v>0.13269069439827785</v>
      </c>
      <c r="O161" s="29" t="s">
        <v>102</v>
      </c>
      <c r="P161" s="53"/>
      <c r="Q161" s="243">
        <f t="shared" ref="Q161:X161" si="99">IF(G162=0,,G161/G162)</f>
        <v>0.7302326611235187</v>
      </c>
      <c r="R161" s="243">
        <f t="shared" si="99"/>
        <v>2.4429245380470994</v>
      </c>
      <c r="S161" s="243">
        <f t="shared" si="99"/>
        <v>1.0611392998191604</v>
      </c>
      <c r="T161" s="243">
        <f t="shared" si="99"/>
        <v>1.0907061976366883</v>
      </c>
      <c r="U161" s="243">
        <f t="shared" si="99"/>
        <v>0.90464177436470095</v>
      </c>
      <c r="V161" s="243">
        <f t="shared" si="99"/>
        <v>2.271184256420943</v>
      </c>
      <c r="W161" s="243">
        <f t="shared" si="99"/>
        <v>2.093317613917935</v>
      </c>
      <c r="X161" s="243">
        <f t="shared" si="99"/>
        <v>1.5771125686329801</v>
      </c>
    </row>
    <row r="162" spans="1:27" ht="15.05" customHeight="1" outlineLevel="1" x14ac:dyDescent="0.35">
      <c r="B162" s="25"/>
      <c r="C162" s="31"/>
      <c r="D162" s="31" t="str">
        <f>+D156</f>
        <v>Percentage Change in Revenue</v>
      </c>
      <c r="E162" s="31"/>
      <c r="G162" s="57">
        <f>+G156</f>
        <v>0.13644953800257828</v>
      </c>
      <c r="H162" s="57">
        <f t="shared" ref="H162:N162" si="100">+H156</f>
        <v>0.1279594957758608</v>
      </c>
      <c r="I162" s="57">
        <f t="shared" si="100"/>
        <v>0.14317512886801492</v>
      </c>
      <c r="J162" s="57">
        <f t="shared" si="100"/>
        <v>-3.3630756015526314E-2</v>
      </c>
      <c r="K162" s="57">
        <f t="shared" si="100"/>
        <v>0.1126452778300729</v>
      </c>
      <c r="L162" s="57">
        <f t="shared" si="100"/>
        <v>6.0105462458448992E-2</v>
      </c>
      <c r="M162" s="57">
        <f t="shared" si="100"/>
        <v>5.6744093955256897E-2</v>
      </c>
      <c r="N162" s="57">
        <f t="shared" si="100"/>
        <v>8.4135208251680069E-2</v>
      </c>
      <c r="O162" s="33"/>
      <c r="P162" s="49"/>
      <c r="Q162" s="54"/>
      <c r="R162" s="49"/>
      <c r="S162" s="49"/>
      <c r="T162" s="49"/>
      <c r="U162" s="49"/>
      <c r="V162" s="49"/>
      <c r="W162" s="50"/>
      <c r="X162" s="50"/>
    </row>
    <row r="163" spans="1:27" ht="15.05" customHeight="1" outlineLevel="1" x14ac:dyDescent="0.3"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5"/>
      <c r="Q163" s="45"/>
      <c r="R163" s="45"/>
      <c r="S163" s="45"/>
      <c r="T163" s="45"/>
      <c r="U163" s="45"/>
      <c r="V163" s="45"/>
      <c r="W163" s="45"/>
      <c r="X163" s="45"/>
    </row>
    <row r="164" spans="1:27" ht="15.05" customHeight="1" outlineLevel="1" x14ac:dyDescent="0.3">
      <c r="P164" s="46"/>
      <c r="Q164" s="46"/>
      <c r="R164" s="46"/>
      <c r="S164" s="46"/>
      <c r="T164" s="46"/>
      <c r="U164" s="46"/>
      <c r="V164" s="46"/>
      <c r="W164" s="46"/>
    </row>
    <row r="165" spans="1:27" ht="15.05" customHeight="1" outlineLevel="1" x14ac:dyDescent="0.3">
      <c r="A165" t="s">
        <v>90</v>
      </c>
      <c r="B165" s="363" t="s">
        <v>179</v>
      </c>
      <c r="C165" s="364"/>
      <c r="D165" s="365"/>
      <c r="E165" s="366"/>
      <c r="F165" s="367"/>
      <c r="G165" s="367"/>
      <c r="H165" s="367"/>
      <c r="I165" s="367"/>
      <c r="J165" s="367"/>
      <c r="K165" s="367"/>
      <c r="L165" s="367"/>
      <c r="M165" s="367"/>
      <c r="N165" s="367"/>
      <c r="O165" s="367"/>
      <c r="P165" s="367"/>
      <c r="Q165" s="367"/>
      <c r="R165" s="367"/>
      <c r="S165" s="367"/>
      <c r="T165" s="367"/>
      <c r="U165" s="367"/>
      <c r="V165" s="367"/>
      <c r="W165" s="367"/>
      <c r="X165" s="368"/>
    </row>
    <row r="166" spans="1:27" ht="15.05" customHeight="1" x14ac:dyDescent="0.3">
      <c r="B166" s="4" t="s">
        <v>8</v>
      </c>
      <c r="C166" s="14"/>
      <c r="D166" s="15"/>
      <c r="E166" s="15"/>
      <c r="F166" s="16"/>
      <c r="G166" s="16"/>
      <c r="H166" s="16"/>
      <c r="I166" s="16"/>
      <c r="J166" s="16"/>
      <c r="K166" s="16"/>
      <c r="L166" s="16"/>
      <c r="M166" s="16"/>
      <c r="N166" s="16"/>
      <c r="O166" s="17"/>
    </row>
    <row r="167" spans="1:27" ht="15.05" customHeight="1" x14ac:dyDescent="0.3">
      <c r="C167" s="14"/>
      <c r="D167" s="21"/>
      <c r="E167" s="21"/>
      <c r="F167" s="74">
        <f>F140</f>
        <v>45352</v>
      </c>
      <c r="G167" s="74">
        <f>G140</f>
        <v>45473</v>
      </c>
      <c r="H167" s="74">
        <f>H140</f>
        <v>45565</v>
      </c>
      <c r="I167" s="74">
        <f>I140</f>
        <v>45657</v>
      </c>
      <c r="J167" s="74">
        <f>J140</f>
        <v>45747</v>
      </c>
      <c r="K167" s="74">
        <f>K140</f>
        <v>45838</v>
      </c>
      <c r="L167" s="74">
        <f>L140</f>
        <v>45930</v>
      </c>
      <c r="M167" s="74">
        <f>M140</f>
        <v>46022</v>
      </c>
      <c r="N167" s="74">
        <f>N140</f>
        <v>46112</v>
      </c>
      <c r="O167" s="237"/>
      <c r="P167" s="74">
        <f>+F167</f>
        <v>45352</v>
      </c>
      <c r="Q167" s="74">
        <f>+G167</f>
        <v>45473</v>
      </c>
      <c r="R167" s="74">
        <f>+H167</f>
        <v>45565</v>
      </c>
      <c r="S167" s="74">
        <f>+I167</f>
        <v>45657</v>
      </c>
      <c r="T167" s="74">
        <f>+J167</f>
        <v>45747</v>
      </c>
      <c r="U167" s="74">
        <f>+K167</f>
        <v>45838</v>
      </c>
      <c r="V167" s="74">
        <f>+L167</f>
        <v>45930</v>
      </c>
      <c r="W167" s="74">
        <f>+M167</f>
        <v>46022</v>
      </c>
      <c r="X167" s="74">
        <f>+N167</f>
        <v>46112</v>
      </c>
    </row>
    <row r="168" spans="1:27" ht="15.05" customHeight="1" outlineLevel="1" x14ac:dyDescent="0.35">
      <c r="B168" s="20"/>
      <c r="C168" s="14"/>
      <c r="D168" s="21"/>
      <c r="E168" s="21"/>
      <c r="F168" s="21"/>
      <c r="G168" s="21"/>
      <c r="H168" s="21"/>
      <c r="I168" s="22"/>
      <c r="J168" s="22"/>
      <c r="K168" s="22"/>
      <c r="L168" s="22"/>
      <c r="M168" s="22"/>
      <c r="N168" s="22"/>
      <c r="O168" s="23"/>
      <c r="P168" s="24"/>
      <c r="Q168" s="19"/>
      <c r="R168" s="24"/>
      <c r="S168" s="24"/>
      <c r="T168" s="24"/>
      <c r="U168" s="24"/>
      <c r="V168" s="24"/>
      <c r="W168" s="24"/>
      <c r="X168" s="24"/>
    </row>
    <row r="169" spans="1:27" ht="15.05" customHeight="1" outlineLevel="1" x14ac:dyDescent="0.3">
      <c r="B169" s="20"/>
      <c r="C169" s="14"/>
      <c r="D169" s="21"/>
      <c r="E169" s="21"/>
      <c r="F169" s="21"/>
      <c r="G169" s="21"/>
      <c r="H169" s="21"/>
      <c r="I169" s="17"/>
      <c r="J169" s="17"/>
      <c r="K169" s="17"/>
      <c r="L169" s="17"/>
      <c r="M169" s="17"/>
      <c r="N169" s="17"/>
      <c r="O169" s="17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1:27" ht="15.05" customHeight="1" outlineLevel="1" x14ac:dyDescent="0.3">
      <c r="B170" s="25" t="s">
        <v>120</v>
      </c>
      <c r="C170" s="26" t="s">
        <v>102</v>
      </c>
      <c r="D170" s="27" t="str">
        <f>+D46</f>
        <v>Net Income</v>
      </c>
      <c r="E170" s="26" t="s">
        <v>102</v>
      </c>
      <c r="F170" s="28">
        <f>+F46</f>
        <v>225221</v>
      </c>
      <c r="G170" s="28">
        <f>+G46</f>
        <v>247662</v>
      </c>
      <c r="H170" s="28">
        <f>+H46</f>
        <v>325080</v>
      </c>
      <c r="I170" s="28">
        <f>+I46</f>
        <v>374469</v>
      </c>
      <c r="J170" s="28">
        <f>+J46</f>
        <v>360733</v>
      </c>
      <c r="K170" s="28">
        <f>+K46</f>
        <v>397493</v>
      </c>
      <c r="L170" s="28">
        <f>+L46</f>
        <v>451755</v>
      </c>
      <c r="M170" s="28">
        <f>+M46</f>
        <v>505416</v>
      </c>
      <c r="N170" s="28">
        <f>+N46</f>
        <v>572480</v>
      </c>
      <c r="O170" s="29" t="s">
        <v>102</v>
      </c>
      <c r="P170" s="30">
        <f t="shared" ref="P170:X170" si="101">IF(F171=0,,F170/F171)</f>
        <v>0.38002747011696736</v>
      </c>
      <c r="Q170" s="30">
        <f t="shared" si="101"/>
        <v>0.36771837092248072</v>
      </c>
      <c r="R170" s="30">
        <f t="shared" si="101"/>
        <v>0.42791025836786489</v>
      </c>
      <c r="S170" s="30">
        <f t="shared" si="101"/>
        <v>0.43118689267566418</v>
      </c>
      <c r="T170" s="30">
        <f t="shared" si="101"/>
        <v>0.42982577384200732</v>
      </c>
      <c r="U170" s="30">
        <f t="shared" si="101"/>
        <v>0.42567616771186734</v>
      </c>
      <c r="V170" s="30">
        <f t="shared" si="101"/>
        <v>0.4563559810004465</v>
      </c>
      <c r="W170" s="30">
        <f t="shared" si="101"/>
        <v>0.48314772151535718</v>
      </c>
      <c r="X170" s="30">
        <f t="shared" si="101"/>
        <v>0.50478660227510197</v>
      </c>
    </row>
    <row r="171" spans="1:27" ht="15.05" customHeight="1" outlineLevel="1" x14ac:dyDescent="0.3">
      <c r="B171" s="25"/>
      <c r="C171" s="31"/>
      <c r="D171" s="31" t="s">
        <v>121</v>
      </c>
      <c r="E171" s="31"/>
      <c r="F171" s="32">
        <f>+F47</f>
        <v>592644</v>
      </c>
      <c r="G171" s="32">
        <f>+G47</f>
        <v>673510</v>
      </c>
      <c r="H171" s="32">
        <f>+H47</f>
        <v>759692</v>
      </c>
      <c r="I171" s="32">
        <f>+I47</f>
        <v>868461</v>
      </c>
      <c r="J171" s="32">
        <f>+J47</f>
        <v>839254</v>
      </c>
      <c r="K171" s="32">
        <f>+K47</f>
        <v>933792</v>
      </c>
      <c r="L171" s="32">
        <f>+L47</f>
        <v>989918</v>
      </c>
      <c r="M171" s="32">
        <f>+M47</f>
        <v>1046090</v>
      </c>
      <c r="N171" s="32">
        <f>+N47</f>
        <v>1134103</v>
      </c>
      <c r="O171" s="33"/>
      <c r="P171" s="30"/>
      <c r="Q171" s="30"/>
      <c r="R171" s="30"/>
      <c r="S171" s="30"/>
      <c r="T171" s="30"/>
      <c r="U171" s="30"/>
      <c r="V171" s="30"/>
      <c r="W171" s="30"/>
      <c r="X171" s="30"/>
    </row>
    <row r="172" spans="1:27" ht="15.05" customHeight="1" outlineLevel="1" x14ac:dyDescent="0.3">
      <c r="B172" s="25"/>
      <c r="C172" s="31"/>
      <c r="D172" s="31"/>
      <c r="E172" s="31"/>
      <c r="G172" s="32"/>
      <c r="H172" s="32"/>
      <c r="I172" s="32"/>
      <c r="J172" s="32"/>
      <c r="K172" s="32"/>
      <c r="L172" s="32"/>
      <c r="M172" s="32"/>
      <c r="N172" s="32"/>
      <c r="O172" s="33"/>
      <c r="P172" s="49"/>
      <c r="Q172" s="40"/>
      <c r="R172" s="40"/>
      <c r="S172" s="40"/>
      <c r="T172" s="40"/>
      <c r="U172" s="40"/>
      <c r="V172" s="40"/>
      <c r="W172" s="40"/>
      <c r="X172" s="40"/>
    </row>
    <row r="173" spans="1:27" ht="15.05" customHeight="1" outlineLevel="1" x14ac:dyDescent="0.3">
      <c r="B173" s="25" t="s">
        <v>128</v>
      </c>
      <c r="C173" s="26" t="s">
        <v>102</v>
      </c>
      <c r="D173" s="27" t="str">
        <f>+D72</f>
        <v>Revenue</v>
      </c>
      <c r="E173" s="26" t="s">
        <v>102</v>
      </c>
      <c r="F173" s="28">
        <f>+F72</f>
        <v>592644</v>
      </c>
      <c r="G173" s="28">
        <f>+G72</f>
        <v>673510</v>
      </c>
      <c r="H173" s="28">
        <f>+H72</f>
        <v>759692</v>
      </c>
      <c r="I173" s="28">
        <f>+I72</f>
        <v>868461</v>
      </c>
      <c r="J173" s="28">
        <f>+J72</f>
        <v>839254</v>
      </c>
      <c r="K173" s="28">
        <f>+K72</f>
        <v>933792</v>
      </c>
      <c r="L173" s="28">
        <f>+L72</f>
        <v>989918</v>
      </c>
      <c r="M173" s="28">
        <f>+M72</f>
        <v>1046090</v>
      </c>
      <c r="N173" s="28">
        <f>+N72</f>
        <v>1134103</v>
      </c>
      <c r="O173" s="29" t="s">
        <v>102</v>
      </c>
      <c r="P173" s="48">
        <f t="shared" ref="P173:X173" si="102">IF(F174=0,,F173/F174)</f>
        <v>0.10239377348329469</v>
      </c>
      <c r="Q173" s="48">
        <f t="shared" si="102"/>
        <v>0.11258258440977513</v>
      </c>
      <c r="R173" s="48">
        <f t="shared" si="102"/>
        <v>0.12321345102177253</v>
      </c>
      <c r="S173" s="48">
        <f t="shared" si="102"/>
        <v>0.12977720355448602</v>
      </c>
      <c r="T173" s="48">
        <f t="shared" si="102"/>
        <v>0.11765319410252244</v>
      </c>
      <c r="U173" s="48">
        <f t="shared" si="102"/>
        <v>0.13327795499796613</v>
      </c>
      <c r="V173" s="48">
        <f t="shared" si="102"/>
        <v>0.13460750571075455</v>
      </c>
      <c r="W173" s="48">
        <f t="shared" si="102"/>
        <v>0.13186522566930342</v>
      </c>
      <c r="X173" s="48">
        <f t="shared" si="102"/>
        <v>0.13094441140983379</v>
      </c>
    </row>
    <row r="174" spans="1:27" ht="15.05" customHeight="1" outlineLevel="1" x14ac:dyDescent="0.35">
      <c r="B174" s="25"/>
      <c r="C174" s="31"/>
      <c r="D174" s="31" t="str">
        <f>+D73</f>
        <v>Total Assets</v>
      </c>
      <c r="E174" s="31"/>
      <c r="F174" s="32">
        <f>+F73</f>
        <v>5787891</v>
      </c>
      <c r="G174" s="32">
        <f>+G73</f>
        <v>5982364</v>
      </c>
      <c r="H174" s="32">
        <f>+H73</f>
        <v>6165658</v>
      </c>
      <c r="I174" s="32">
        <f>+I73</f>
        <v>6691938</v>
      </c>
      <c r="J174" s="32">
        <f>+J73</f>
        <v>7133287</v>
      </c>
      <c r="K174" s="32">
        <f>+K73</f>
        <v>7006350</v>
      </c>
      <c r="L174" s="32">
        <f>+L73</f>
        <v>7354107</v>
      </c>
      <c r="M174" s="32">
        <f>+M73</f>
        <v>7933024</v>
      </c>
      <c r="N174" s="32">
        <f>+N73</f>
        <v>8660950</v>
      </c>
      <c r="O174" s="33"/>
      <c r="P174" s="49"/>
      <c r="Q174" s="49"/>
      <c r="R174" s="49"/>
      <c r="S174" s="49"/>
      <c r="T174" s="49"/>
      <c r="U174" s="49"/>
      <c r="V174" s="49"/>
      <c r="W174" s="50"/>
      <c r="X174" s="50"/>
      <c r="AA174" s="478"/>
    </row>
    <row r="175" spans="1:27" ht="15.05" customHeight="1" outlineLevel="1" x14ac:dyDescent="0.3">
      <c r="B175" s="25"/>
      <c r="C175" s="31"/>
      <c r="D175" s="31"/>
      <c r="E175" s="31"/>
      <c r="G175" s="32"/>
      <c r="H175" s="32"/>
      <c r="I175" s="32"/>
      <c r="J175" s="32"/>
      <c r="K175" s="32"/>
      <c r="L175" s="32"/>
      <c r="M175" s="32"/>
      <c r="N175" s="32"/>
      <c r="O175" s="33"/>
      <c r="P175" s="58"/>
      <c r="Q175" s="59"/>
      <c r="R175" s="59"/>
      <c r="S175" s="59"/>
      <c r="T175" s="59"/>
      <c r="U175" s="59"/>
      <c r="V175" s="59"/>
      <c r="W175" s="59"/>
      <c r="X175" s="59"/>
      <c r="AA175" s="243"/>
    </row>
    <row r="176" spans="1:27" ht="15.05" customHeight="1" outlineLevel="1" x14ac:dyDescent="0.3">
      <c r="B176" s="25" t="s">
        <v>180</v>
      </c>
      <c r="C176" s="26" t="s">
        <v>102</v>
      </c>
      <c r="D176" s="27" t="str">
        <f>+D174</f>
        <v>Total Assets</v>
      </c>
      <c r="E176" s="26" t="s">
        <v>102</v>
      </c>
      <c r="F176" s="28">
        <f>+F110</f>
        <v>5787891</v>
      </c>
      <c r="G176" s="28">
        <f>+G110</f>
        <v>5982364</v>
      </c>
      <c r="H176" s="28">
        <f>+H110</f>
        <v>6165658</v>
      </c>
      <c r="I176" s="28">
        <f>+I110</f>
        <v>6691938</v>
      </c>
      <c r="J176" s="28">
        <f>+J110</f>
        <v>7133287</v>
      </c>
      <c r="K176" s="28">
        <f>+K110</f>
        <v>7006350</v>
      </c>
      <c r="L176" s="28">
        <f>+L110</f>
        <v>7354107</v>
      </c>
      <c r="M176" s="28">
        <f>+M110</f>
        <v>7933024</v>
      </c>
      <c r="N176" s="28">
        <f>+N110</f>
        <v>8660950</v>
      </c>
      <c r="O176" s="29" t="s">
        <v>102</v>
      </c>
      <c r="P176" s="48">
        <f t="shared" ref="P176:X176" si="103">IF(F177=0,,F176/F177)</f>
        <v>1.5919465461150601</v>
      </c>
      <c r="Q176" s="48">
        <f t="shared" si="103"/>
        <v>1.5778760527435358</v>
      </c>
      <c r="R176" s="48">
        <f t="shared" si="103"/>
        <v>1.5452703358054185</v>
      </c>
      <c r="S176" s="48">
        <f t="shared" si="103"/>
        <v>1.5604215415717919</v>
      </c>
      <c r="T176" s="48">
        <f t="shared" si="103"/>
        <v>1.5628908439270999</v>
      </c>
      <c r="U176" s="48">
        <f t="shared" si="103"/>
        <v>1.5294120985602939</v>
      </c>
      <c r="V176" s="48">
        <f t="shared" si="103"/>
        <v>1.4713195888127719</v>
      </c>
      <c r="W176" s="48">
        <f t="shared" si="103"/>
        <v>1.4637666719069096</v>
      </c>
      <c r="X176" s="48">
        <f t="shared" si="103"/>
        <v>1.4702102883061505</v>
      </c>
    </row>
    <row r="177" spans="1:27" ht="15.05" customHeight="1" outlineLevel="1" x14ac:dyDescent="0.35">
      <c r="B177" s="25"/>
      <c r="C177" s="31"/>
      <c r="D177" s="31" t="s">
        <v>99</v>
      </c>
      <c r="E177" s="31"/>
      <c r="F177" s="32">
        <f>+F111</f>
        <v>3635732</v>
      </c>
      <c r="G177" s="32">
        <f>+G111</f>
        <v>3791403</v>
      </c>
      <c r="H177" s="32">
        <f>+H111</f>
        <v>3990019</v>
      </c>
      <c r="I177" s="32">
        <f>+I111</f>
        <v>4288545</v>
      </c>
      <c r="J177" s="32">
        <f>+J111</f>
        <v>4564162</v>
      </c>
      <c r="K177" s="32">
        <f>+K111</f>
        <v>4581074</v>
      </c>
      <c r="L177" s="32">
        <f>+L111</f>
        <v>4998307</v>
      </c>
      <c r="M177" s="32">
        <f>+M111</f>
        <v>5419596</v>
      </c>
      <c r="N177" s="32">
        <f>+N111</f>
        <v>5890960</v>
      </c>
      <c r="O177" s="33"/>
      <c r="P177" s="49"/>
      <c r="Q177" s="49"/>
      <c r="R177" s="49"/>
      <c r="S177" s="49"/>
      <c r="T177" s="49"/>
      <c r="U177" s="49"/>
      <c r="V177" s="49"/>
      <c r="W177" s="50"/>
      <c r="X177" s="50"/>
    </row>
    <row r="178" spans="1:27" ht="15.05" customHeight="1" outlineLevel="1" x14ac:dyDescent="0.3">
      <c r="P178" s="46"/>
      <c r="Q178" s="46"/>
      <c r="R178" s="46"/>
      <c r="S178" s="46"/>
      <c r="T178" s="46"/>
      <c r="U178" s="46"/>
      <c r="V178" s="46"/>
      <c r="W178" s="46"/>
      <c r="X178" s="46"/>
    </row>
    <row r="179" spans="1:27" ht="15.05" customHeight="1" outlineLevel="1" x14ac:dyDescent="0.3">
      <c r="B179" s="51" t="s">
        <v>181</v>
      </c>
      <c r="C179" s="26" t="s">
        <v>102</v>
      </c>
      <c r="D179" s="31" t="s">
        <v>182</v>
      </c>
      <c r="E179" s="26" t="s">
        <v>102</v>
      </c>
      <c r="O179" s="29" t="s">
        <v>102</v>
      </c>
      <c r="P179" s="40">
        <f>+P170*P173*P176</f>
        <v>6.1946535113149154E-2</v>
      </c>
      <c r="Q179" s="40">
        <f t="shared" ref="Q179:W179" si="104">+Q170*Q173*Q176</f>
        <v>6.5321992940344242E-2</v>
      </c>
      <c r="R179" s="40">
        <f t="shared" si="104"/>
        <v>8.1473296242448978E-2</v>
      </c>
      <c r="S179" s="40">
        <f t="shared" si="104"/>
        <v>8.731842617950844E-2</v>
      </c>
      <c r="T179" s="40">
        <f t="shared" si="104"/>
        <v>7.9035976374195308E-2</v>
      </c>
      <c r="U179" s="40">
        <f t="shared" si="104"/>
        <v>8.6768517600894476E-2</v>
      </c>
      <c r="V179" s="40">
        <f t="shared" si="104"/>
        <v>9.0381603210847192E-2</v>
      </c>
      <c r="W179" s="40">
        <f t="shared" si="104"/>
        <v>9.3257135771743868E-2</v>
      </c>
      <c r="X179" s="40">
        <f t="shared" ref="X179" si="105">+X170*X173*X176</f>
        <v>9.7179407091543657E-2</v>
      </c>
    </row>
    <row r="180" spans="1:27" ht="15.05" customHeight="1" outlineLevel="1" x14ac:dyDescent="0.3">
      <c r="B180" s="51" t="s">
        <v>111</v>
      </c>
      <c r="C180" s="31"/>
      <c r="D180" s="31"/>
      <c r="E180" s="31"/>
      <c r="P180" s="38" t="str">
        <f>IF(ABS(P179-P$7)&lt;0.0001, "OK", "Error")</f>
        <v>OK</v>
      </c>
      <c r="Q180" s="38" t="str">
        <f t="shared" ref="Q180:X180" si="106">IF(ABS(Q179-Q$7)&lt;0.0001, "OK", "Error")</f>
        <v>OK</v>
      </c>
      <c r="R180" s="38" t="str">
        <f t="shared" si="106"/>
        <v>OK</v>
      </c>
      <c r="S180" s="38" t="str">
        <f t="shared" si="106"/>
        <v>OK</v>
      </c>
      <c r="T180" s="38" t="str">
        <f t="shared" si="106"/>
        <v>OK</v>
      </c>
      <c r="U180" s="38" t="str">
        <f t="shared" si="106"/>
        <v>OK</v>
      </c>
      <c r="V180" s="38" t="str">
        <f t="shared" si="106"/>
        <v>OK</v>
      </c>
      <c r="W180" s="38" t="str">
        <f t="shared" si="106"/>
        <v>OK</v>
      </c>
      <c r="X180" s="38" t="str">
        <f t="shared" si="106"/>
        <v>OK</v>
      </c>
    </row>
    <row r="181" spans="1:27" ht="15.05" customHeight="1" outlineLevel="1" x14ac:dyDescent="0.3"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5"/>
      <c r="Q181" s="45"/>
      <c r="R181" s="45"/>
      <c r="S181" s="45"/>
      <c r="T181" s="45"/>
      <c r="U181" s="45"/>
      <c r="V181" s="45"/>
      <c r="W181" s="45"/>
      <c r="X181" s="45"/>
    </row>
    <row r="182" spans="1:27" ht="15.05" customHeight="1" outlineLevel="1" x14ac:dyDescent="0.3">
      <c r="P182" s="46"/>
      <c r="Q182" s="46"/>
      <c r="R182" s="46"/>
      <c r="S182" s="46"/>
      <c r="T182" s="46"/>
      <c r="U182" s="46"/>
      <c r="V182" s="46"/>
      <c r="W182" s="46"/>
    </row>
    <row r="183" spans="1:27" ht="15.05" customHeight="1" outlineLevel="1" x14ac:dyDescent="0.3">
      <c r="A183" t="s">
        <v>90</v>
      </c>
      <c r="B183" s="363" t="s">
        <v>183</v>
      </c>
      <c r="C183" s="364"/>
      <c r="D183" s="365"/>
      <c r="E183" s="366"/>
      <c r="F183" s="367"/>
      <c r="G183" s="367"/>
      <c r="H183" s="367"/>
      <c r="I183" s="367"/>
      <c r="J183" s="367"/>
      <c r="K183" s="367"/>
      <c r="L183" s="367"/>
      <c r="M183" s="367"/>
      <c r="N183" s="367"/>
      <c r="O183" s="367"/>
      <c r="P183" s="367"/>
      <c r="Q183" s="367"/>
      <c r="R183" s="367"/>
      <c r="S183" s="367"/>
      <c r="T183" s="367"/>
      <c r="U183" s="367"/>
      <c r="V183" s="367"/>
      <c r="W183" s="367"/>
      <c r="X183" s="368"/>
    </row>
    <row r="184" spans="1:27" ht="15.05" customHeight="1" x14ac:dyDescent="0.3">
      <c r="B184" s="4" t="s">
        <v>8</v>
      </c>
      <c r="C184" s="14"/>
      <c r="D184" s="15"/>
      <c r="E184" s="15"/>
      <c r="F184" s="16"/>
      <c r="G184" s="16"/>
      <c r="H184" s="16"/>
      <c r="I184" s="16"/>
      <c r="J184" s="16"/>
      <c r="K184" s="16"/>
      <c r="L184" s="16"/>
      <c r="M184" s="16"/>
      <c r="N184" s="16"/>
      <c r="O184" s="17"/>
    </row>
    <row r="185" spans="1:27" ht="15.05" customHeight="1" x14ac:dyDescent="0.3">
      <c r="C185" s="14"/>
      <c r="D185" s="21"/>
      <c r="E185" s="21"/>
      <c r="F185" s="74">
        <f>F167</f>
        <v>45352</v>
      </c>
      <c r="G185" s="74">
        <f t="shared" ref="G185:N185" si="107">G167</f>
        <v>45473</v>
      </c>
      <c r="H185" s="74">
        <f t="shared" si="107"/>
        <v>45565</v>
      </c>
      <c r="I185" s="74">
        <f t="shared" si="107"/>
        <v>45657</v>
      </c>
      <c r="J185" s="74">
        <f t="shared" si="107"/>
        <v>45747</v>
      </c>
      <c r="K185" s="74">
        <f t="shared" si="107"/>
        <v>45838</v>
      </c>
      <c r="L185" s="74">
        <f t="shared" si="107"/>
        <v>45930</v>
      </c>
      <c r="M185" s="74">
        <f t="shared" si="107"/>
        <v>46022</v>
      </c>
      <c r="N185" s="74">
        <f t="shared" si="107"/>
        <v>46112</v>
      </c>
      <c r="O185" s="237"/>
      <c r="P185" s="74">
        <f>+F185</f>
        <v>45352</v>
      </c>
      <c r="Q185" s="74">
        <f>+G185</f>
        <v>45473</v>
      </c>
      <c r="R185" s="74">
        <f>+H185</f>
        <v>45565</v>
      </c>
      <c r="S185" s="74">
        <f>+I185</f>
        <v>45657</v>
      </c>
      <c r="T185" s="74">
        <f>+J185</f>
        <v>45747</v>
      </c>
      <c r="U185" s="74">
        <f>+K185</f>
        <v>45838</v>
      </c>
      <c r="V185" s="74">
        <f>+L185</f>
        <v>45930</v>
      </c>
      <c r="W185" s="74">
        <f>+M185</f>
        <v>46022</v>
      </c>
      <c r="X185" s="74">
        <f>+N185</f>
        <v>46112</v>
      </c>
    </row>
    <row r="186" spans="1:27" ht="15.05" customHeight="1" outlineLevel="1" x14ac:dyDescent="0.35">
      <c r="B186" s="20"/>
      <c r="C186" s="14"/>
      <c r="D186" s="21"/>
      <c r="E186" s="21"/>
      <c r="F186" s="21"/>
      <c r="G186" s="21"/>
      <c r="H186" s="21"/>
      <c r="I186" s="22"/>
      <c r="J186" s="22"/>
      <c r="K186" s="22"/>
      <c r="L186" s="22"/>
      <c r="M186" s="22"/>
      <c r="N186" s="22"/>
      <c r="O186" s="23"/>
      <c r="P186" s="24"/>
      <c r="Q186" s="19"/>
      <c r="R186" s="24"/>
      <c r="S186" s="24"/>
      <c r="T186" s="24"/>
      <c r="U186" s="24"/>
      <c r="V186" s="24"/>
      <c r="W186" s="24"/>
      <c r="X186" s="24"/>
    </row>
    <row r="187" spans="1:27" ht="15.05" customHeight="1" outlineLevel="1" x14ac:dyDescent="0.3">
      <c r="B187" s="20"/>
      <c r="C187" s="14"/>
      <c r="D187" s="21"/>
      <c r="E187" s="21"/>
      <c r="F187" s="21"/>
      <c r="G187" s="21"/>
      <c r="H187" s="21"/>
      <c r="I187" s="17"/>
      <c r="J187" s="17"/>
      <c r="K187" s="17"/>
      <c r="L187" s="17"/>
      <c r="M187" s="17"/>
      <c r="N187" s="17"/>
      <c r="O187" s="17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1:27" ht="15.05" customHeight="1" outlineLevel="1" x14ac:dyDescent="0.3">
      <c r="B188" s="238" t="s">
        <v>123</v>
      </c>
      <c r="C188" s="26" t="s">
        <v>102</v>
      </c>
      <c r="D188" s="27" t="str">
        <f>+D52</f>
        <v>Net Income</v>
      </c>
      <c r="E188" s="26" t="s">
        <v>102</v>
      </c>
      <c r="F188" s="28">
        <f t="shared" ref="F188:M189" si="108">+F52</f>
        <v>225221</v>
      </c>
      <c r="G188" s="28">
        <f t="shared" si="108"/>
        <v>247662</v>
      </c>
      <c r="H188" s="28">
        <f t="shared" si="108"/>
        <v>325080</v>
      </c>
      <c r="I188" s="28">
        <f t="shared" si="108"/>
        <v>374469</v>
      </c>
      <c r="J188" s="28">
        <f t="shared" si="108"/>
        <v>360733</v>
      </c>
      <c r="K188" s="28">
        <f t="shared" si="108"/>
        <v>397493</v>
      </c>
      <c r="L188" s="28">
        <f t="shared" si="108"/>
        <v>451755</v>
      </c>
      <c r="M188" s="28">
        <f t="shared" si="108"/>
        <v>505416</v>
      </c>
      <c r="N188" s="28">
        <f>+N52</f>
        <v>572480</v>
      </c>
      <c r="O188" s="29" t="s">
        <v>102</v>
      </c>
      <c r="P188" s="73">
        <f t="shared" ref="P188:X188" si="109">IF(F189=0,,F188/F189)</f>
        <v>0.8449706051181235</v>
      </c>
      <c r="Q188" s="73">
        <f t="shared" si="109"/>
        <v>0.80853119868369072</v>
      </c>
      <c r="R188" s="73">
        <f t="shared" si="109"/>
        <v>0.84615044236270354</v>
      </c>
      <c r="S188" s="73">
        <f t="shared" si="109"/>
        <v>0.83438206052611641</v>
      </c>
      <c r="T188" s="73">
        <f t="shared" si="109"/>
        <v>0.83717146868726722</v>
      </c>
      <c r="U188" s="73">
        <f t="shared" si="109"/>
        <v>0.80621496199060516</v>
      </c>
      <c r="V188" s="73">
        <f t="shared" si="109"/>
        <v>0.85988134054350374</v>
      </c>
      <c r="W188" s="73">
        <f t="shared" si="109"/>
        <v>0.85322006945065776</v>
      </c>
      <c r="X188" s="73">
        <f t="shared" si="109"/>
        <v>0.83233498109915671</v>
      </c>
    </row>
    <row r="189" spans="1:27" ht="15.05" customHeight="1" outlineLevel="1" x14ac:dyDescent="0.35">
      <c r="B189" s="25"/>
      <c r="C189" s="31"/>
      <c r="D189" s="31" t="str">
        <f>+D53</f>
        <v>Earning Before Tax</v>
      </c>
      <c r="E189" s="31"/>
      <c r="F189" s="32">
        <f t="shared" si="108"/>
        <v>266543</v>
      </c>
      <c r="G189" s="32">
        <f t="shared" si="108"/>
        <v>306311</v>
      </c>
      <c r="H189" s="32">
        <f t="shared" si="108"/>
        <v>384187</v>
      </c>
      <c r="I189" s="32">
        <f t="shared" si="108"/>
        <v>448798</v>
      </c>
      <c r="J189" s="32">
        <f t="shared" si="108"/>
        <v>430895</v>
      </c>
      <c r="K189" s="32">
        <f t="shared" si="108"/>
        <v>493036</v>
      </c>
      <c r="L189" s="32">
        <f t="shared" si="108"/>
        <v>525369</v>
      </c>
      <c r="M189" s="32">
        <f t="shared" si="108"/>
        <v>592363</v>
      </c>
      <c r="N189" s="32">
        <f>+N53</f>
        <v>687800</v>
      </c>
      <c r="O189" s="33"/>
      <c r="P189" s="60"/>
      <c r="Q189" s="60"/>
      <c r="R189" s="34"/>
      <c r="S189" s="34"/>
      <c r="T189" s="34"/>
      <c r="U189" s="34"/>
      <c r="V189" s="34"/>
      <c r="W189" s="35"/>
      <c r="X189" s="35"/>
    </row>
    <row r="190" spans="1:27" ht="15.05" customHeight="1" outlineLevel="1" x14ac:dyDescent="0.35">
      <c r="B190" s="25"/>
      <c r="C190" s="31"/>
      <c r="D190" s="31"/>
      <c r="E190" s="31"/>
      <c r="F190" s="32"/>
      <c r="G190" s="32"/>
      <c r="H190" s="32"/>
      <c r="I190" s="32"/>
      <c r="J190" s="32"/>
      <c r="K190" s="32"/>
      <c r="L190" s="32"/>
      <c r="M190" s="32"/>
      <c r="N190" s="32"/>
      <c r="O190" s="33"/>
      <c r="P190" s="34"/>
      <c r="Q190" s="34"/>
      <c r="R190" s="34"/>
      <c r="S190" s="34"/>
      <c r="T190" s="34"/>
      <c r="U190" s="34"/>
      <c r="V190" s="34"/>
      <c r="W190" s="35"/>
      <c r="X190" s="35"/>
      <c r="AA190" s="73"/>
    </row>
    <row r="191" spans="1:27" ht="15.05" customHeight="1" outlineLevel="1" x14ac:dyDescent="0.3">
      <c r="B191" s="238" t="s">
        <v>126</v>
      </c>
      <c r="C191" s="26" t="s">
        <v>102</v>
      </c>
      <c r="D191" s="27" t="str">
        <f>D189</f>
        <v>Earning Before Tax</v>
      </c>
      <c r="E191" s="26" t="s">
        <v>102</v>
      </c>
      <c r="F191" s="28">
        <f>F189</f>
        <v>266543</v>
      </c>
      <c r="G191" s="28">
        <f t="shared" ref="G191:N191" si="110">G189</f>
        <v>306311</v>
      </c>
      <c r="H191" s="28">
        <f t="shared" si="110"/>
        <v>384187</v>
      </c>
      <c r="I191" s="28">
        <f t="shared" si="110"/>
        <v>448798</v>
      </c>
      <c r="J191" s="28">
        <f t="shared" si="110"/>
        <v>430895</v>
      </c>
      <c r="K191" s="28">
        <f t="shared" si="110"/>
        <v>493036</v>
      </c>
      <c r="L191" s="28">
        <f t="shared" si="110"/>
        <v>525369</v>
      </c>
      <c r="M191" s="28">
        <f t="shared" si="110"/>
        <v>592363</v>
      </c>
      <c r="N191" s="28">
        <f t="shared" si="110"/>
        <v>687800</v>
      </c>
      <c r="O191" s="29" t="s">
        <v>102</v>
      </c>
      <c r="P191" s="73">
        <f t="shared" ref="P191:X191" si="111">IF(F192=0,,F191/F192)</f>
        <v>1.0703764386510213</v>
      </c>
      <c r="Q191" s="73">
        <f t="shared" si="111"/>
        <v>1.0689394045143008</v>
      </c>
      <c r="R191" s="73">
        <f t="shared" si="111"/>
        <v>1.0649201975795946</v>
      </c>
      <c r="S191" s="73">
        <f t="shared" si="111"/>
        <v>1.0542266738389479</v>
      </c>
      <c r="T191" s="73">
        <f t="shared" si="111"/>
        <v>1.0584994141215138</v>
      </c>
      <c r="U191" s="73">
        <f t="shared" si="111"/>
        <v>1.0639005832684179</v>
      </c>
      <c r="V191" s="73">
        <f t="shared" si="111"/>
        <v>1.0493004583720302</v>
      </c>
      <c r="W191" s="73">
        <f t="shared" si="111"/>
        <v>1.0486101153649388</v>
      </c>
      <c r="X191" s="73">
        <f t="shared" si="111"/>
        <v>1.043756430529041</v>
      </c>
      <c r="AA191" s="243"/>
    </row>
    <row r="192" spans="1:27" ht="15.05" customHeight="1" outlineLevel="1" x14ac:dyDescent="0.35">
      <c r="B192" s="25"/>
      <c r="C192" s="31"/>
      <c r="D192" s="31" t="str">
        <f>D123</f>
        <v>EBIT</v>
      </c>
      <c r="E192" s="31"/>
      <c r="F192" s="32">
        <f>F123</f>
        <v>249018</v>
      </c>
      <c r="G192" s="32">
        <f t="shared" ref="G192:N192" si="112">G123</f>
        <v>286556</v>
      </c>
      <c r="H192" s="32">
        <f t="shared" si="112"/>
        <v>360766</v>
      </c>
      <c r="I192" s="32">
        <f t="shared" si="112"/>
        <v>425713</v>
      </c>
      <c r="J192" s="32">
        <f t="shared" si="112"/>
        <v>407081</v>
      </c>
      <c r="K192" s="32">
        <f t="shared" si="112"/>
        <v>463423</v>
      </c>
      <c r="L192" s="32">
        <f t="shared" si="112"/>
        <v>500685</v>
      </c>
      <c r="M192" s="32">
        <f t="shared" si="112"/>
        <v>564903</v>
      </c>
      <c r="N192" s="32">
        <f t="shared" si="112"/>
        <v>658966</v>
      </c>
      <c r="O192" s="33"/>
      <c r="P192" s="60"/>
      <c r="Q192" s="60"/>
      <c r="R192" s="34"/>
      <c r="S192" s="34"/>
      <c r="T192" s="34"/>
      <c r="U192" s="34"/>
      <c r="V192" s="34"/>
      <c r="W192" s="35"/>
      <c r="X192" s="35"/>
    </row>
    <row r="193" spans="1:24" ht="15.05" customHeight="1" outlineLevel="1" x14ac:dyDescent="0.35">
      <c r="B193" s="25"/>
      <c r="C193" s="31"/>
      <c r="D193" s="31"/>
      <c r="E193" s="31"/>
      <c r="F193" s="32"/>
      <c r="G193" s="32"/>
      <c r="H193" s="32"/>
      <c r="I193" s="32"/>
      <c r="J193" s="32"/>
      <c r="K193" s="32"/>
      <c r="L193" s="32"/>
      <c r="M193" s="32"/>
      <c r="N193" s="32"/>
      <c r="O193" s="33"/>
      <c r="P193" s="34"/>
      <c r="Q193" s="34"/>
      <c r="R193" s="34"/>
      <c r="S193" s="34"/>
      <c r="T193" s="34"/>
      <c r="U193" s="34"/>
      <c r="V193" s="34"/>
      <c r="W193" s="35"/>
      <c r="X193" s="35"/>
    </row>
    <row r="194" spans="1:24" ht="15.05" customHeight="1" outlineLevel="1" x14ac:dyDescent="0.3">
      <c r="B194" s="238" t="s">
        <v>114</v>
      </c>
      <c r="C194" s="26" t="s">
        <v>102</v>
      </c>
      <c r="D194" s="27" t="str">
        <f>+D34</f>
        <v>EBIT</v>
      </c>
      <c r="E194" s="26" t="s">
        <v>102</v>
      </c>
      <c r="F194" s="28">
        <f t="shared" ref="F194:M195" si="113">+F34</f>
        <v>249018</v>
      </c>
      <c r="G194" s="28">
        <f t="shared" si="113"/>
        <v>286556</v>
      </c>
      <c r="H194" s="28">
        <f t="shared" si="113"/>
        <v>360766</v>
      </c>
      <c r="I194" s="28">
        <f t="shared" si="113"/>
        <v>425713</v>
      </c>
      <c r="J194" s="28">
        <f t="shared" si="113"/>
        <v>407081</v>
      </c>
      <c r="K194" s="28">
        <f t="shared" si="113"/>
        <v>463423</v>
      </c>
      <c r="L194" s="28">
        <f t="shared" si="113"/>
        <v>500685</v>
      </c>
      <c r="M194" s="28">
        <f t="shared" si="113"/>
        <v>564903</v>
      </c>
      <c r="N194" s="28">
        <f>+N34</f>
        <v>658966</v>
      </c>
      <c r="O194" s="29" t="s">
        <v>102</v>
      </c>
      <c r="P194" s="73">
        <f t="shared" ref="P194:X194" si="114">IF(F195=0,,F194/F195)</f>
        <v>0.42018142426144534</v>
      </c>
      <c r="Q194" s="73">
        <f t="shared" si="114"/>
        <v>0.42546658549984412</v>
      </c>
      <c r="R194" s="73">
        <f t="shared" si="114"/>
        <v>0.47488455847896255</v>
      </c>
      <c r="S194" s="73">
        <f t="shared" si="114"/>
        <v>0.49019242084561082</v>
      </c>
      <c r="T194" s="73">
        <f t="shared" si="114"/>
        <v>0.48505100958708569</v>
      </c>
      <c r="U194" s="73">
        <f t="shared" si="114"/>
        <v>0.49628075631403995</v>
      </c>
      <c r="V194" s="73">
        <f t="shared" si="114"/>
        <v>0.50578431748892327</v>
      </c>
      <c r="W194" s="73">
        <f t="shared" si="114"/>
        <v>0.54001376554598557</v>
      </c>
      <c r="X194" s="73">
        <f t="shared" si="114"/>
        <v>0.58104598964997012</v>
      </c>
    </row>
    <row r="195" spans="1:24" ht="15.05" customHeight="1" outlineLevel="1" x14ac:dyDescent="0.35">
      <c r="B195" s="25"/>
      <c r="C195" s="31"/>
      <c r="D195" s="31" t="str">
        <f>+D35</f>
        <v>Revenue</v>
      </c>
      <c r="E195" s="31"/>
      <c r="F195" s="32">
        <f t="shared" si="113"/>
        <v>592644</v>
      </c>
      <c r="G195" s="32">
        <f t="shared" si="113"/>
        <v>673510</v>
      </c>
      <c r="H195" s="32">
        <f t="shared" si="113"/>
        <v>759692</v>
      </c>
      <c r="I195" s="32">
        <f t="shared" si="113"/>
        <v>868461</v>
      </c>
      <c r="J195" s="32">
        <f t="shared" si="113"/>
        <v>839254</v>
      </c>
      <c r="K195" s="32">
        <f t="shared" si="113"/>
        <v>933792</v>
      </c>
      <c r="L195" s="32">
        <f t="shared" si="113"/>
        <v>989918</v>
      </c>
      <c r="M195" s="32">
        <f t="shared" si="113"/>
        <v>1046090</v>
      </c>
      <c r="N195" s="32">
        <f>+N35</f>
        <v>1134103</v>
      </c>
      <c r="O195" s="33"/>
      <c r="P195" s="61"/>
      <c r="Q195" s="61"/>
      <c r="R195" s="36"/>
      <c r="S195" s="36"/>
      <c r="T195" s="36"/>
      <c r="U195" s="36"/>
      <c r="V195" s="36"/>
      <c r="W195" s="37"/>
      <c r="X195" s="37"/>
    </row>
    <row r="196" spans="1:24" ht="15.05" customHeight="1" outlineLevel="1" x14ac:dyDescent="0.35">
      <c r="B196" s="25"/>
      <c r="C196" s="31"/>
      <c r="D196" s="31"/>
      <c r="E196" s="31"/>
      <c r="F196" s="32"/>
      <c r="G196" s="32"/>
      <c r="H196" s="32"/>
      <c r="I196" s="32"/>
      <c r="J196" s="32"/>
      <c r="K196" s="32"/>
      <c r="L196" s="32"/>
      <c r="M196" s="32"/>
      <c r="N196" s="32"/>
      <c r="O196" s="33"/>
      <c r="P196" s="36"/>
      <c r="Q196" s="36"/>
      <c r="R196" s="36"/>
      <c r="S196" s="36"/>
      <c r="T196" s="36"/>
      <c r="U196" s="36"/>
      <c r="V196" s="36"/>
      <c r="W196" s="37"/>
      <c r="X196" s="37"/>
    </row>
    <row r="197" spans="1:24" ht="15.05" customHeight="1" outlineLevel="1" x14ac:dyDescent="0.3">
      <c r="B197" s="238" t="s">
        <v>128</v>
      </c>
      <c r="C197" s="26" t="s">
        <v>102</v>
      </c>
      <c r="D197" s="27" t="str">
        <f>+D173</f>
        <v>Revenue</v>
      </c>
      <c r="E197" s="26" t="s">
        <v>102</v>
      </c>
      <c r="F197" s="28">
        <f>+F173</f>
        <v>592644</v>
      </c>
      <c r="G197" s="28">
        <f t="shared" ref="G197:O198" si="115">+G173</f>
        <v>673510</v>
      </c>
      <c r="H197" s="28">
        <f t="shared" si="115"/>
        <v>759692</v>
      </c>
      <c r="I197" s="28">
        <f t="shared" si="115"/>
        <v>868461</v>
      </c>
      <c r="J197" s="28">
        <f t="shared" si="115"/>
        <v>839254</v>
      </c>
      <c r="K197" s="28">
        <f t="shared" si="115"/>
        <v>933792</v>
      </c>
      <c r="L197" s="28">
        <f t="shared" si="115"/>
        <v>989918</v>
      </c>
      <c r="M197" s="28">
        <f t="shared" si="115"/>
        <v>1046090</v>
      </c>
      <c r="N197" s="28">
        <f t="shared" ref="N197" si="116">+N173</f>
        <v>1134103</v>
      </c>
      <c r="O197" s="32" t="str">
        <f t="shared" si="115"/>
        <v>=</v>
      </c>
      <c r="P197" s="243">
        <f t="shared" ref="P197:X197" si="117">IF(F198=0,,F197/F198)</f>
        <v>0.10239377348329469</v>
      </c>
      <c r="Q197" s="243">
        <f t="shared" si="117"/>
        <v>0.11258258440977513</v>
      </c>
      <c r="R197" s="243">
        <f t="shared" si="117"/>
        <v>0.12321345102177253</v>
      </c>
      <c r="S197" s="243">
        <f t="shared" si="117"/>
        <v>0.12977720355448602</v>
      </c>
      <c r="T197" s="243">
        <f t="shared" si="117"/>
        <v>0.11765319410252244</v>
      </c>
      <c r="U197" s="243">
        <f t="shared" si="117"/>
        <v>0.13327795499796613</v>
      </c>
      <c r="V197" s="243">
        <f t="shared" si="117"/>
        <v>0.13460750571075455</v>
      </c>
      <c r="W197" s="243">
        <f t="shared" si="117"/>
        <v>0.13186522566930342</v>
      </c>
      <c r="X197" s="243">
        <f t="shared" si="117"/>
        <v>0.13094441140983379</v>
      </c>
    </row>
    <row r="198" spans="1:24" ht="15.05" customHeight="1" outlineLevel="1" x14ac:dyDescent="0.35">
      <c r="B198" s="25"/>
      <c r="C198" s="31"/>
      <c r="D198" s="31" t="str">
        <f>+D174</f>
        <v>Total Assets</v>
      </c>
      <c r="E198" s="31"/>
      <c r="F198" s="32">
        <f>+F174</f>
        <v>5787891</v>
      </c>
      <c r="G198" s="32">
        <f t="shared" si="115"/>
        <v>5982364</v>
      </c>
      <c r="H198" s="32">
        <f t="shared" si="115"/>
        <v>6165658</v>
      </c>
      <c r="I198" s="32">
        <f t="shared" si="115"/>
        <v>6691938</v>
      </c>
      <c r="J198" s="32">
        <f t="shared" si="115"/>
        <v>7133287</v>
      </c>
      <c r="K198" s="32">
        <f t="shared" si="115"/>
        <v>7006350</v>
      </c>
      <c r="L198" s="32">
        <f t="shared" si="115"/>
        <v>7354107</v>
      </c>
      <c r="M198" s="32">
        <f t="shared" si="115"/>
        <v>7933024</v>
      </c>
      <c r="N198" s="32">
        <f t="shared" ref="N198" si="118">+N174</f>
        <v>8660950</v>
      </c>
      <c r="O198" s="33"/>
      <c r="P198" s="49"/>
      <c r="Q198" s="49"/>
      <c r="R198" s="49"/>
      <c r="S198" s="49"/>
      <c r="T198" s="49"/>
      <c r="U198" s="49"/>
      <c r="V198" s="49"/>
      <c r="W198" s="50"/>
      <c r="X198" s="50"/>
    </row>
    <row r="199" spans="1:24" ht="15.05" customHeight="1" outlineLevel="1" x14ac:dyDescent="0.3">
      <c r="B199" s="25"/>
      <c r="C199" s="31"/>
      <c r="D199" s="31"/>
      <c r="E199" s="31"/>
      <c r="G199" s="32"/>
      <c r="H199" s="32"/>
      <c r="I199" s="32"/>
      <c r="J199" s="32"/>
      <c r="K199" s="32"/>
      <c r="L199" s="32"/>
      <c r="M199" s="32"/>
      <c r="N199" s="32"/>
      <c r="O199" s="33"/>
      <c r="P199" s="58"/>
      <c r="Q199" s="59"/>
      <c r="R199" s="59"/>
      <c r="S199" s="59"/>
      <c r="T199" s="59"/>
      <c r="U199" s="59"/>
      <c r="V199" s="59"/>
      <c r="W199" s="59"/>
      <c r="X199" s="59"/>
    </row>
    <row r="200" spans="1:24" ht="15.05" customHeight="1" outlineLevel="1" x14ac:dyDescent="0.3">
      <c r="B200" s="238" t="s">
        <v>180</v>
      </c>
      <c r="C200" s="26" t="s">
        <v>102</v>
      </c>
      <c r="D200" s="27" t="str">
        <f>+D198</f>
        <v>Total Assets</v>
      </c>
      <c r="E200" s="26" t="s">
        <v>102</v>
      </c>
      <c r="F200" s="28">
        <f>+F198</f>
        <v>5787891</v>
      </c>
      <c r="G200" s="28">
        <f t="shared" ref="G200:M200" si="119">+G198</f>
        <v>5982364</v>
      </c>
      <c r="H200" s="28">
        <f t="shared" si="119"/>
        <v>6165658</v>
      </c>
      <c r="I200" s="28">
        <f t="shared" si="119"/>
        <v>6691938</v>
      </c>
      <c r="J200" s="28">
        <f t="shared" si="119"/>
        <v>7133287</v>
      </c>
      <c r="K200" s="28">
        <f t="shared" si="119"/>
        <v>7006350</v>
      </c>
      <c r="L200" s="28">
        <f t="shared" si="119"/>
        <v>7354107</v>
      </c>
      <c r="M200" s="28">
        <f t="shared" si="119"/>
        <v>7933024</v>
      </c>
      <c r="N200" s="28">
        <f t="shared" ref="N200" si="120">+N198</f>
        <v>8660950</v>
      </c>
      <c r="O200" s="29" t="s">
        <v>102</v>
      </c>
      <c r="P200" s="243">
        <f t="shared" ref="P200:X200" si="121">IF(F201=0,,F200/F201)</f>
        <v>1.5919465461150601</v>
      </c>
      <c r="Q200" s="243">
        <f t="shared" si="121"/>
        <v>1.5778760527435358</v>
      </c>
      <c r="R200" s="243">
        <f t="shared" si="121"/>
        <v>1.5452703358054185</v>
      </c>
      <c r="S200" s="243">
        <f t="shared" si="121"/>
        <v>1.5604215415717919</v>
      </c>
      <c r="T200" s="243">
        <f t="shared" si="121"/>
        <v>1.5628908439270999</v>
      </c>
      <c r="U200" s="243">
        <f t="shared" si="121"/>
        <v>1.5294120985602939</v>
      </c>
      <c r="V200" s="243">
        <f t="shared" si="121"/>
        <v>1.4713195888127719</v>
      </c>
      <c r="W200" s="243">
        <f t="shared" si="121"/>
        <v>1.4637666719069096</v>
      </c>
      <c r="X200" s="243">
        <f t="shared" si="121"/>
        <v>1.4702102883061505</v>
      </c>
    </row>
    <row r="201" spans="1:24" ht="15.05" customHeight="1" outlineLevel="1" x14ac:dyDescent="0.35">
      <c r="B201" s="25"/>
      <c r="C201" s="31"/>
      <c r="D201" s="31" t="s">
        <v>99</v>
      </c>
      <c r="E201" s="31"/>
      <c r="F201" s="32">
        <f>+F177</f>
        <v>3635732</v>
      </c>
      <c r="G201" s="32">
        <f t="shared" ref="G201:M201" si="122">+G177</f>
        <v>3791403</v>
      </c>
      <c r="H201" s="32">
        <f t="shared" si="122"/>
        <v>3990019</v>
      </c>
      <c r="I201" s="32">
        <f t="shared" si="122"/>
        <v>4288545</v>
      </c>
      <c r="J201" s="32">
        <f t="shared" si="122"/>
        <v>4564162</v>
      </c>
      <c r="K201" s="32">
        <f t="shared" si="122"/>
        <v>4581074</v>
      </c>
      <c r="L201" s="32">
        <f t="shared" si="122"/>
        <v>4998307</v>
      </c>
      <c r="M201" s="32">
        <f t="shared" si="122"/>
        <v>5419596</v>
      </c>
      <c r="N201" s="32">
        <f t="shared" ref="N201" si="123">+N177</f>
        <v>5890960</v>
      </c>
      <c r="O201" s="33"/>
      <c r="P201" s="49"/>
      <c r="Q201" s="49"/>
      <c r="R201" s="49"/>
      <c r="S201" s="49"/>
      <c r="T201" s="49"/>
      <c r="U201" s="49"/>
      <c r="V201" s="49"/>
      <c r="W201" s="50"/>
      <c r="X201" s="50"/>
    </row>
    <row r="202" spans="1:24" ht="15.05" customHeight="1" outlineLevel="1" x14ac:dyDescent="0.3">
      <c r="P202" s="46"/>
      <c r="Q202" s="46"/>
      <c r="R202" s="46"/>
      <c r="S202" s="46"/>
      <c r="T202" s="46"/>
      <c r="U202" s="46"/>
      <c r="V202" s="46"/>
      <c r="W202" s="46"/>
      <c r="X202" s="46"/>
    </row>
    <row r="203" spans="1:24" ht="15.05" customHeight="1" outlineLevel="1" x14ac:dyDescent="0.3">
      <c r="B203" s="3" t="s">
        <v>181</v>
      </c>
      <c r="C203" s="26" t="s">
        <v>102</v>
      </c>
      <c r="D203" s="31" t="s">
        <v>184</v>
      </c>
      <c r="E203" s="26" t="s">
        <v>102</v>
      </c>
      <c r="O203" s="29" t="s">
        <v>102</v>
      </c>
      <c r="P203" s="73">
        <f>+P188*P191*P194*P197*P200</f>
        <v>6.1946535113149161E-2</v>
      </c>
      <c r="Q203" s="73">
        <f t="shared" ref="Q203:W203" si="124">+Q188*Q191*Q194*Q197*Q200</f>
        <v>6.5321992940344242E-2</v>
      </c>
      <c r="R203" s="73">
        <f t="shared" si="124"/>
        <v>8.1473296242448978E-2</v>
      </c>
      <c r="S203" s="73">
        <f t="shared" si="124"/>
        <v>8.7318426179508454E-2</v>
      </c>
      <c r="T203" s="73">
        <f t="shared" si="124"/>
        <v>7.9035976374195294E-2</v>
      </c>
      <c r="U203" s="73">
        <f t="shared" si="124"/>
        <v>8.6768517600894449E-2</v>
      </c>
      <c r="V203" s="73">
        <f t="shared" si="124"/>
        <v>9.0381603210847178E-2</v>
      </c>
      <c r="W203" s="73">
        <f t="shared" si="124"/>
        <v>9.3257135771743882E-2</v>
      </c>
      <c r="X203" s="73">
        <f t="shared" ref="X203" si="125">+X188*X191*X194*X197*X200</f>
        <v>9.7179407091543671E-2</v>
      </c>
    </row>
    <row r="204" spans="1:24" ht="15.05" customHeight="1" outlineLevel="1" x14ac:dyDescent="0.3">
      <c r="B204" t="s">
        <v>111</v>
      </c>
      <c r="C204" s="31"/>
      <c r="D204" s="31" t="s">
        <v>185</v>
      </c>
      <c r="E204" s="31"/>
      <c r="P204" s="38" t="str">
        <f>IF(ABS(P203-P$7)&lt;0.0001, "OK", "Error")</f>
        <v>OK</v>
      </c>
      <c r="Q204" s="38" t="str">
        <f t="shared" ref="Q204:X204" si="126">IF(ABS(Q203-Q$7)&lt;0.0001, "OK", "Error")</f>
        <v>OK</v>
      </c>
      <c r="R204" s="38" t="str">
        <f t="shared" si="126"/>
        <v>OK</v>
      </c>
      <c r="S204" s="38" t="str">
        <f t="shared" si="126"/>
        <v>OK</v>
      </c>
      <c r="T204" s="38" t="str">
        <f t="shared" si="126"/>
        <v>OK</v>
      </c>
      <c r="U204" s="38" t="str">
        <f t="shared" si="126"/>
        <v>OK</v>
      </c>
      <c r="V204" s="38" t="str">
        <f t="shared" si="126"/>
        <v>OK</v>
      </c>
      <c r="W204" s="38" t="str">
        <f t="shared" si="126"/>
        <v>OK</v>
      </c>
      <c r="X204" s="38" t="str">
        <f t="shared" si="126"/>
        <v>OK</v>
      </c>
    </row>
    <row r="205" spans="1:24" ht="15.05" customHeight="1" outlineLevel="1" x14ac:dyDescent="0.3"/>
    <row r="206" spans="1:24" ht="15.05" customHeight="1" outlineLevel="1" x14ac:dyDescent="0.3"/>
    <row r="207" spans="1:24" ht="15.05" customHeight="1" outlineLevel="1" x14ac:dyDescent="0.3">
      <c r="A207" t="s">
        <v>90</v>
      </c>
      <c r="B207" s="363" t="s">
        <v>572</v>
      </c>
      <c r="C207" s="364"/>
      <c r="D207" s="365"/>
      <c r="E207" s="366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8"/>
    </row>
    <row r="208" spans="1:24" x14ac:dyDescent="0.3">
      <c r="A208" t="s">
        <v>90</v>
      </c>
      <c r="B208" s="4" t="s">
        <v>8</v>
      </c>
      <c r="F208" s="373"/>
      <c r="G208" s="422"/>
      <c r="I208" s="422"/>
      <c r="J208" s="422"/>
    </row>
    <row r="209" spans="2:16" x14ac:dyDescent="0.3">
      <c r="F209" s="373"/>
      <c r="G209" s="422"/>
      <c r="H209" s="423"/>
      <c r="I209" s="422"/>
      <c r="J209" s="422"/>
    </row>
    <row r="210" spans="2:16" x14ac:dyDescent="0.3">
      <c r="B210" t="s">
        <v>577</v>
      </c>
      <c r="D210" s="424">
        <f>Model!E541</f>
        <v>25932</v>
      </c>
      <c r="E210" s="425"/>
      <c r="I210" s="424"/>
      <c r="J210" s="423"/>
    </row>
    <row r="211" spans="2:16" x14ac:dyDescent="0.3">
      <c r="B211" t="s">
        <v>578</v>
      </c>
      <c r="D211" s="424">
        <f>Model!E542</f>
        <v>2350</v>
      </c>
      <c r="E211" s="499" t="s">
        <v>646</v>
      </c>
      <c r="I211" s="424"/>
      <c r="J211" s="425"/>
    </row>
    <row r="212" spans="2:16" x14ac:dyDescent="0.3">
      <c r="B212" t="s">
        <v>372</v>
      </c>
      <c r="D212" s="424">
        <f>Model!P104+Model!P108+Model!P109</f>
        <v>1066556.993</v>
      </c>
      <c r="E212" s="425" t="s">
        <v>580</v>
      </c>
      <c r="I212" s="424"/>
      <c r="J212" s="425"/>
    </row>
    <row r="213" spans="2:16" x14ac:dyDescent="0.3">
      <c r="B213" t="s">
        <v>579</v>
      </c>
      <c r="D213" s="424">
        <f>Model!O83</f>
        <v>3035637</v>
      </c>
      <c r="E213" s="425" t="s">
        <v>580</v>
      </c>
      <c r="I213" s="424"/>
      <c r="J213" s="425"/>
    </row>
    <row r="214" spans="2:16" x14ac:dyDescent="0.3">
      <c r="B214" t="s">
        <v>584</v>
      </c>
      <c r="D214" s="424">
        <f>D211*D210</f>
        <v>60940200</v>
      </c>
      <c r="E214" s="425" t="s">
        <v>595</v>
      </c>
      <c r="I214" s="424"/>
      <c r="J214" s="425"/>
    </row>
    <row r="215" spans="2:16" x14ac:dyDescent="0.3">
      <c r="B215" t="s">
        <v>585</v>
      </c>
      <c r="D215" s="428">
        <f>D214+D212-D213</f>
        <v>58971119.993000001</v>
      </c>
      <c r="E215" s="425"/>
      <c r="I215" s="428"/>
      <c r="J215" s="227"/>
    </row>
    <row r="216" spans="2:16" x14ac:dyDescent="0.3">
      <c r="D216" s="428"/>
      <c r="G216" s="428"/>
      <c r="I216" s="422"/>
      <c r="J216" s="422"/>
    </row>
    <row r="217" spans="2:16" x14ac:dyDescent="0.3">
      <c r="B217" s="20"/>
      <c r="F217" s="373"/>
      <c r="G217" s="422"/>
      <c r="H217" s="423" t="s">
        <v>92</v>
      </c>
      <c r="I217" s="422"/>
      <c r="J217" s="422"/>
    </row>
    <row r="218" spans="2:16" x14ac:dyDescent="0.3">
      <c r="B218" s="20"/>
      <c r="F218" s="74">
        <f>Model!P2</f>
        <v>46203</v>
      </c>
      <c r="G218" s="74">
        <f>Model!Q2</f>
        <v>46295</v>
      </c>
      <c r="H218" s="74">
        <f>Model!R2</f>
        <v>46386</v>
      </c>
      <c r="I218" s="74">
        <f>Model!S2</f>
        <v>46476</v>
      </c>
      <c r="J218" s="74">
        <f>Model!T2</f>
        <v>46568</v>
      </c>
      <c r="L218" s="74"/>
      <c r="M218" s="74"/>
    </row>
    <row r="219" spans="2:16" x14ac:dyDescent="0.3">
      <c r="B219" s="20"/>
      <c r="F219" s="74"/>
      <c r="G219" s="74"/>
      <c r="H219" s="74"/>
      <c r="I219" s="74"/>
      <c r="J219" s="74"/>
    </row>
    <row r="220" spans="2:16" x14ac:dyDescent="0.3">
      <c r="B220" t="s">
        <v>121</v>
      </c>
      <c r="F220" s="424">
        <f>Model!P4</f>
        <v>1248392.2298250003</v>
      </c>
      <c r="G220" s="424">
        <f>Model!Q4</f>
        <v>1382472.3366958124</v>
      </c>
      <c r="H220" s="424">
        <f>Model!R4</f>
        <v>1536433.0099928251</v>
      </c>
      <c r="I220" s="424">
        <f>Model!S4</f>
        <v>1713637.4999623799</v>
      </c>
      <c r="J220" s="424">
        <f>Model!T4</f>
        <v>1917692.3755778368</v>
      </c>
      <c r="N220" s="74"/>
      <c r="O220" s="74"/>
      <c r="P220" s="74"/>
    </row>
    <row r="221" spans="2:16" x14ac:dyDescent="0.3">
      <c r="B221" t="s">
        <v>54</v>
      </c>
      <c r="F221" s="424">
        <f ca="1">Model!P27</f>
        <v>634897.81248674798</v>
      </c>
      <c r="G221" s="424">
        <f ca="1">Model!Q27</f>
        <v>709539.73687845946</v>
      </c>
      <c r="H221" s="424">
        <f ca="1">Model!R27</f>
        <v>794137.45029454969</v>
      </c>
      <c r="I221" s="424">
        <f ca="1">Model!S27</f>
        <v>890943.90092332719</v>
      </c>
      <c r="J221" s="424">
        <f ca="1">Model!T27</f>
        <v>1001296.8910394849</v>
      </c>
    </row>
    <row r="222" spans="2:16" x14ac:dyDescent="0.3">
      <c r="B222" t="s">
        <v>492</v>
      </c>
      <c r="F222" s="424">
        <f ca="1">Model!P45</f>
        <v>890969.72917701106</v>
      </c>
      <c r="G222" s="424">
        <f ca="1">Model!Q45</f>
        <v>942737.47921965516</v>
      </c>
      <c r="H222" s="424">
        <f ca="1">Model!R45</f>
        <v>1043969.6115860272</v>
      </c>
      <c r="I222" s="424">
        <f ca="1">Model!S45</f>
        <v>1162765.0913601252</v>
      </c>
      <c r="J222" s="424">
        <f ca="1">Model!T45</f>
        <v>1312644.0512390886</v>
      </c>
    </row>
    <row r="223" spans="2:16" x14ac:dyDescent="0.3">
      <c r="B223" t="s">
        <v>493</v>
      </c>
      <c r="F223" s="424">
        <f>Model!P212</f>
        <v>374517.66894750006</v>
      </c>
      <c r="G223" s="424">
        <f>Model!Q212</f>
        <v>407829.33932526462</v>
      </c>
      <c r="H223" s="424">
        <f>Model!R212</f>
        <v>445565.57289791922</v>
      </c>
      <c r="I223" s="424">
        <f>Model!S212</f>
        <v>488386.68748927827</v>
      </c>
      <c r="J223" s="424">
        <f>Model!T212</f>
        <v>536953.86516179435</v>
      </c>
    </row>
    <row r="224" spans="2:16" x14ac:dyDescent="0.3">
      <c r="B224" s="3" t="s">
        <v>488</v>
      </c>
      <c r="C224" s="26" t="s">
        <v>102</v>
      </c>
      <c r="D224" s="373" t="s">
        <v>591</v>
      </c>
      <c r="E224" s="26" t="s">
        <v>102</v>
      </c>
      <c r="F224" s="430">
        <f ca="1">F222-F223</f>
        <v>516452.060229511</v>
      </c>
      <c r="G224" s="430">
        <f ca="1">G222-G223</f>
        <v>534908.13989439048</v>
      </c>
      <c r="H224" s="430">
        <f ca="1">H222-H223</f>
        <v>598404.03868810798</v>
      </c>
      <c r="I224" s="430">
        <f ca="1">I222-I223</f>
        <v>674378.40387084696</v>
      </c>
      <c r="J224" s="430">
        <f ca="1">J222-J223</f>
        <v>775690.18607729429</v>
      </c>
    </row>
    <row r="225" spans="2:18" x14ac:dyDescent="0.3">
      <c r="B225" s="3" t="s">
        <v>575</v>
      </c>
      <c r="C225" s="26" t="s">
        <v>102</v>
      </c>
      <c r="D225" s="27" t="s">
        <v>576</v>
      </c>
      <c r="E225" s="26" t="s">
        <v>102</v>
      </c>
      <c r="F225" s="426">
        <f ca="1">F221/$D$210</f>
        <v>24.483179565276416</v>
      </c>
      <c r="G225" s="426">
        <f ca="1">G221/$D$210</f>
        <v>27.361550859110729</v>
      </c>
      <c r="H225" s="426">
        <f ca="1">H221/$D$210</f>
        <v>30.623841211420242</v>
      </c>
      <c r="I225" s="426">
        <f ca="1">I221/$D$210</f>
        <v>34.356929697799139</v>
      </c>
      <c r="J225" s="426">
        <f ca="1">J221/$D$210</f>
        <v>38.6124051765959</v>
      </c>
    </row>
    <row r="226" spans="2:18" x14ac:dyDescent="0.3">
      <c r="B226" s="20"/>
      <c r="D226" s="31" t="s">
        <v>339</v>
      </c>
    </row>
    <row r="227" spans="2:18" x14ac:dyDescent="0.3">
      <c r="B227" s="429" t="s">
        <v>593</v>
      </c>
      <c r="C227" s="26" t="s">
        <v>102</v>
      </c>
      <c r="D227" s="27" t="s">
        <v>493</v>
      </c>
      <c r="E227" s="26" t="s">
        <v>102</v>
      </c>
      <c r="F227" s="434">
        <f>F223/F220</f>
        <v>0.3</v>
      </c>
      <c r="G227" s="434">
        <f t="shared" ref="G227:J227" si="127">G223/G220</f>
        <v>0.29499999999999998</v>
      </c>
      <c r="H227" s="434">
        <f t="shared" si="127"/>
        <v>0.28999999999999998</v>
      </c>
      <c r="I227" s="434">
        <f t="shared" si="127"/>
        <v>0.28499999999999998</v>
      </c>
      <c r="J227" s="434">
        <f t="shared" si="127"/>
        <v>0.28000000000000003</v>
      </c>
    </row>
    <row r="228" spans="2:18" x14ac:dyDescent="0.3">
      <c r="B228" s="20"/>
      <c r="D228" s="31" t="s">
        <v>594</v>
      </c>
    </row>
    <row r="229" spans="2:18" x14ac:dyDescent="0.3">
      <c r="B229" s="20"/>
      <c r="D229" s="31"/>
    </row>
    <row r="230" spans="2:18" x14ac:dyDescent="0.3">
      <c r="B230" s="20"/>
      <c r="D230" s="31"/>
    </row>
    <row r="231" spans="2:18" x14ac:dyDescent="0.3">
      <c r="B231" s="20"/>
      <c r="D231" s="31"/>
      <c r="F231" s="74">
        <f>F218</f>
        <v>46203</v>
      </c>
      <c r="G231" s="74">
        <f>G218</f>
        <v>46295</v>
      </c>
      <c r="H231" s="74"/>
      <c r="I231" s="74">
        <f>F231</f>
        <v>46203</v>
      </c>
      <c r="J231" s="74">
        <f>G231</f>
        <v>46295</v>
      </c>
    </row>
    <row r="232" spans="2:18" x14ac:dyDescent="0.3">
      <c r="B232" s="20"/>
      <c r="D232" s="31"/>
    </row>
    <row r="233" spans="2:18" x14ac:dyDescent="0.3">
      <c r="B233" s="3" t="s">
        <v>573</v>
      </c>
      <c r="C233" s="26" t="s">
        <v>102</v>
      </c>
      <c r="D233" s="27" t="s">
        <v>574</v>
      </c>
      <c r="E233" s="26" t="s">
        <v>102</v>
      </c>
      <c r="F233" s="419">
        <f>D211</f>
        <v>2350</v>
      </c>
      <c r="G233" s="419">
        <f>D211</f>
        <v>2350</v>
      </c>
      <c r="H233" s="26" t="s">
        <v>102</v>
      </c>
      <c r="I233" s="427">
        <f ca="1">IF(F234=0,,F233/F234)</f>
        <v>20.115471135786933</v>
      </c>
      <c r="J233" s="427">
        <f ca="1">IF(G234=0,,G233/G234)</f>
        <v>17.945133061048725</v>
      </c>
      <c r="L233" s="252"/>
    </row>
    <row r="234" spans="2:18" x14ac:dyDescent="0.3">
      <c r="B234" s="20"/>
      <c r="D234" s="31" t="s">
        <v>583</v>
      </c>
      <c r="F234" s="421">
        <f ca="1">SUM(F225:I225)</f>
        <v>116.82550133360652</v>
      </c>
      <c r="G234" s="421">
        <f ca="1">SUM(G225:J225)</f>
        <v>130.95472694492599</v>
      </c>
    </row>
    <row r="235" spans="2:18" x14ac:dyDescent="0.3">
      <c r="B235" s="20"/>
      <c r="D235" s="31"/>
      <c r="F235" s="421"/>
      <c r="G235" s="74"/>
      <c r="R235" s="425"/>
    </row>
    <row r="236" spans="2:18" x14ac:dyDescent="0.3">
      <c r="B236" s="3" t="s">
        <v>581</v>
      </c>
      <c r="C236" s="26" t="s">
        <v>102</v>
      </c>
      <c r="D236" s="27" t="s">
        <v>332</v>
      </c>
      <c r="E236" s="26" t="s">
        <v>102</v>
      </c>
      <c r="F236" s="419">
        <f>D214+D212-D213</f>
        <v>58971119.993000001</v>
      </c>
      <c r="G236" s="419">
        <f>F236</f>
        <v>58971119.993000001</v>
      </c>
      <c r="H236" s="26" t="s">
        <v>102</v>
      </c>
      <c r="I236" s="427">
        <f>IF(F237=0,,F236/F237)</f>
        <v>10.027507399101701</v>
      </c>
      <c r="J236" s="427">
        <f>IF(G237=0,,G236/G237)</f>
        <v>9.0029011161119552</v>
      </c>
      <c r="Q236" s="74"/>
      <c r="R236" s="74"/>
    </row>
    <row r="237" spans="2:18" x14ac:dyDescent="0.3">
      <c r="B237" s="20"/>
      <c r="D237" s="31" t="s">
        <v>582</v>
      </c>
      <c r="F237" s="420">
        <f>SUM(F220:I220)</f>
        <v>5880935.0764760179</v>
      </c>
      <c r="G237" s="420">
        <f>SUM(G220:J220)</f>
        <v>6550235.2222288549</v>
      </c>
      <c r="Q237" s="74"/>
      <c r="R237" s="74"/>
    </row>
    <row r="238" spans="2:18" x14ac:dyDescent="0.3">
      <c r="R238" s="425"/>
    </row>
    <row r="239" spans="2:18" x14ac:dyDescent="0.3">
      <c r="B239" s="3" t="s">
        <v>586</v>
      </c>
      <c r="C239" s="26" t="s">
        <v>102</v>
      </c>
      <c r="D239" s="27" t="s">
        <v>589</v>
      </c>
      <c r="E239" s="26" t="s">
        <v>102</v>
      </c>
      <c r="F239" s="419">
        <f>G233</f>
        <v>2350</v>
      </c>
      <c r="G239" s="419">
        <f>F239</f>
        <v>2350</v>
      </c>
      <c r="H239" s="26" t="s">
        <v>102</v>
      </c>
      <c r="I239" s="427">
        <f ca="1">IF(F240=0,,F239/F240)</f>
        <v>26.220507674887866</v>
      </c>
      <c r="J239" s="427">
        <f ca="1">IF(G240=0,,G239/G240)</f>
        <v>23.589321691304999</v>
      </c>
      <c r="Q239" s="74"/>
      <c r="R239" s="74"/>
    </row>
    <row r="240" spans="2:18" x14ac:dyDescent="0.3">
      <c r="D240" s="31" t="s">
        <v>590</v>
      </c>
      <c r="F240" s="420">
        <f ca="1">I242</f>
        <v>89.624504191071125</v>
      </c>
      <c r="G240" s="420">
        <f ca="1">J242</f>
        <v>99.621346927758751</v>
      </c>
      <c r="Q240" s="74"/>
      <c r="R240" s="74"/>
    </row>
    <row r="241" spans="1:18" x14ac:dyDescent="0.3">
      <c r="D241" s="31"/>
      <c r="F241" s="420"/>
      <c r="R241" s="425"/>
    </row>
    <row r="242" spans="1:18" x14ac:dyDescent="0.3">
      <c r="B242" s="432" t="s">
        <v>588</v>
      </c>
      <c r="C242" s="26" t="s">
        <v>102</v>
      </c>
      <c r="D242" s="27" t="s">
        <v>587</v>
      </c>
      <c r="E242" s="26" t="s">
        <v>102</v>
      </c>
      <c r="F242" s="419">
        <f ca="1">SUM(F224:I224)</f>
        <v>2324142.6426828564</v>
      </c>
      <c r="G242" s="419">
        <f ca="1">SUM(G224:J224)</f>
        <v>2583380.7685306398</v>
      </c>
      <c r="H242" s="26" t="s">
        <v>102</v>
      </c>
      <c r="I242" s="431">
        <f ca="1">IF(F243=0,,F242/F243)</f>
        <v>89.624504191071125</v>
      </c>
      <c r="J242" s="431">
        <f ca="1">IF(G243=0,,G242/G243)</f>
        <v>99.621346927758751</v>
      </c>
      <c r="R242" s="74"/>
    </row>
    <row r="243" spans="1:18" x14ac:dyDescent="0.3">
      <c r="C243" s="26"/>
      <c r="D243" s="31" t="s">
        <v>339</v>
      </c>
      <c r="E243" s="26"/>
      <c r="F243" s="420">
        <f>D210</f>
        <v>25932</v>
      </c>
      <c r="G243" s="420">
        <f>F243</f>
        <v>25932</v>
      </c>
      <c r="R243" s="74"/>
    </row>
    <row r="244" spans="1:18" x14ac:dyDescent="0.3">
      <c r="R244" s="425"/>
    </row>
    <row r="249" spans="1:18" x14ac:dyDescent="0.3">
      <c r="A249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AC37-0728-44CA-AA8B-06EA37A1ED70}">
  <dimension ref="A1:AA219"/>
  <sheetViews>
    <sheetView showGridLines="0" topLeftCell="A64" zoomScale="85" zoomScaleNormal="85" workbookViewId="0">
      <selection activeCell="L166" sqref="L166"/>
    </sheetView>
  </sheetViews>
  <sheetFormatPr defaultRowHeight="14.4" x14ac:dyDescent="0.3"/>
  <cols>
    <col min="1" max="1" width="2.88671875" customWidth="1"/>
    <col min="2" max="2" width="52" bestFit="1" customWidth="1"/>
    <col min="3" max="3" width="11.33203125" bestFit="1" customWidth="1"/>
    <col min="4" max="7" width="11.33203125" customWidth="1"/>
    <col min="8" max="11" width="11.33203125" bestFit="1" customWidth="1"/>
    <col min="12" max="14" width="9.77734375" bestFit="1" customWidth="1"/>
    <col min="15" max="15" width="13.77734375" bestFit="1" customWidth="1"/>
    <col min="16" max="16" width="9.77734375" bestFit="1" customWidth="1"/>
    <col min="22" max="22" width="12.77734375" bestFit="1" customWidth="1"/>
    <col min="23" max="23" width="11.21875" bestFit="1" customWidth="1"/>
    <col min="24" max="24" width="10.109375" customWidth="1"/>
    <col min="25" max="25" width="10.77734375" customWidth="1"/>
    <col min="26" max="26" width="11.21875" bestFit="1" customWidth="1"/>
    <col min="27" max="27" width="14.88671875" bestFit="1" customWidth="1"/>
  </cols>
  <sheetData>
    <row r="1" spans="1:27" x14ac:dyDescent="0.3">
      <c r="A1" t="s">
        <v>90</v>
      </c>
      <c r="B1" s="3" t="s">
        <v>38</v>
      </c>
      <c r="C1" s="361" t="s">
        <v>91</v>
      </c>
      <c r="D1" s="361"/>
      <c r="E1" s="361"/>
      <c r="F1" s="361"/>
      <c r="G1" s="361"/>
      <c r="H1" s="361"/>
      <c r="I1" s="361"/>
      <c r="J1" s="361"/>
      <c r="K1" s="361"/>
    </row>
    <row r="2" spans="1:27" x14ac:dyDescent="0.3">
      <c r="B2" s="4" t="s">
        <v>8</v>
      </c>
      <c r="C2" s="5">
        <v>45352</v>
      </c>
      <c r="D2" s="5">
        <f>EOMONTH(C2,3)</f>
        <v>45473</v>
      </c>
      <c r="E2" s="5">
        <f t="shared" ref="E2:H2" si="0">EOMONTH(D2,3)</f>
        <v>45565</v>
      </c>
      <c r="F2" s="5">
        <f t="shared" si="0"/>
        <v>45657</v>
      </c>
      <c r="G2" s="5">
        <f t="shared" si="0"/>
        <v>45747</v>
      </c>
      <c r="H2" s="5">
        <f t="shared" si="0"/>
        <v>45838</v>
      </c>
      <c r="I2" s="5">
        <f t="shared" ref="I2:K2" si="1">EOMONTH(H2,3)</f>
        <v>45930</v>
      </c>
      <c r="J2" s="5">
        <f t="shared" si="1"/>
        <v>46022</v>
      </c>
      <c r="K2" s="5">
        <f t="shared" si="1"/>
        <v>46112</v>
      </c>
      <c r="N2" s="3" t="s">
        <v>508</v>
      </c>
      <c r="Q2" s="5">
        <f>Model!G2</f>
        <v>45382</v>
      </c>
      <c r="R2" s="5">
        <f>Model!H2</f>
        <v>45473</v>
      </c>
      <c r="S2" s="5">
        <f>Model!I2</f>
        <v>45565</v>
      </c>
      <c r="T2" s="5">
        <f>Model!J2</f>
        <v>45656</v>
      </c>
      <c r="U2" s="5">
        <f>Model!K2</f>
        <v>45746</v>
      </c>
      <c r="V2" s="5">
        <f>Model!L2</f>
        <v>45838</v>
      </c>
      <c r="W2" s="5">
        <f>Model!M2</f>
        <v>45930</v>
      </c>
      <c r="X2" s="5">
        <f>Model!N2</f>
        <v>46021</v>
      </c>
      <c r="Y2" s="5">
        <f>Model!O2</f>
        <v>46111</v>
      </c>
    </row>
    <row r="3" spans="1:27" x14ac:dyDescent="0.3">
      <c r="B3" s="4"/>
    </row>
    <row r="4" spans="1:27" x14ac:dyDescent="0.3">
      <c r="B4" t="s">
        <v>37</v>
      </c>
      <c r="C4" s="6">
        <v>592644</v>
      </c>
      <c r="D4" s="6">
        <v>673510</v>
      </c>
      <c r="E4" s="6">
        <v>759692</v>
      </c>
      <c r="F4" s="6">
        <v>868461</v>
      </c>
      <c r="G4" s="6">
        <v>839254</v>
      </c>
      <c r="H4" s="6">
        <v>933792</v>
      </c>
      <c r="I4" s="6">
        <v>989918</v>
      </c>
      <c r="J4" s="6">
        <v>1046090</v>
      </c>
      <c r="K4" s="6">
        <v>1134103</v>
      </c>
      <c r="N4" t="s">
        <v>196</v>
      </c>
    </row>
    <row r="5" spans="1:27" x14ac:dyDescent="0.3">
      <c r="B5" t="s">
        <v>39</v>
      </c>
      <c r="C5" s="6">
        <v>-278139</v>
      </c>
      <c r="D5" s="6">
        <v>-315385</v>
      </c>
      <c r="E5" s="6">
        <v>-320347</v>
      </c>
      <c r="F5" s="6">
        <v>-356082</v>
      </c>
      <c r="G5" s="6">
        <v>-345859</v>
      </c>
      <c r="H5" s="6">
        <v>-386423</v>
      </c>
      <c r="I5" s="6">
        <v>-401375</v>
      </c>
      <c r="J5" s="6">
        <v>-394103</v>
      </c>
      <c r="K5" s="6">
        <v>-382808</v>
      </c>
      <c r="N5" t="s">
        <v>197</v>
      </c>
      <c r="Q5" s="65">
        <v>0.09</v>
      </c>
      <c r="R5" s="65">
        <v>0.15</v>
      </c>
      <c r="S5" s="65">
        <v>0.2</v>
      </c>
      <c r="T5" s="65">
        <v>0.26</v>
      </c>
      <c r="U5" s="65">
        <v>0.22</v>
      </c>
      <c r="V5" s="65">
        <v>0.24</v>
      </c>
      <c r="W5" s="65">
        <v>0.23</v>
      </c>
      <c r="X5" s="65">
        <v>0.28000000000000003</v>
      </c>
      <c r="Y5" s="65">
        <v>0.28000000000000003</v>
      </c>
    </row>
    <row r="6" spans="1:27" x14ac:dyDescent="0.3">
      <c r="B6" s="3" t="s">
        <v>40</v>
      </c>
      <c r="C6" s="9">
        <v>314505</v>
      </c>
      <c r="D6" s="9">
        <v>358125</v>
      </c>
      <c r="E6" s="9">
        <v>439345</v>
      </c>
      <c r="F6" s="9">
        <v>512379</v>
      </c>
      <c r="G6" s="9">
        <v>493395</v>
      </c>
      <c r="H6" s="9">
        <v>547369</v>
      </c>
      <c r="I6" s="9">
        <v>588543</v>
      </c>
      <c r="J6" s="9">
        <v>651987</v>
      </c>
      <c r="K6" s="9">
        <v>751295</v>
      </c>
      <c r="N6" t="s">
        <v>198</v>
      </c>
      <c r="Q6" s="65">
        <v>0.37</v>
      </c>
      <c r="R6" s="65">
        <v>0.35</v>
      </c>
      <c r="S6" s="65">
        <v>0.32</v>
      </c>
      <c r="T6" s="65">
        <v>0.34</v>
      </c>
      <c r="U6" s="65">
        <v>0.36</v>
      </c>
      <c r="V6" s="65">
        <v>0.36</v>
      </c>
      <c r="W6" s="65">
        <v>0.37</v>
      </c>
      <c r="X6" s="65">
        <v>0.35</v>
      </c>
      <c r="Y6" s="65">
        <v>0.35</v>
      </c>
    </row>
    <row r="7" spans="1:27" x14ac:dyDescent="0.3">
      <c r="C7" s="6"/>
      <c r="D7" s="6"/>
      <c r="E7" s="6"/>
      <c r="F7" s="6"/>
      <c r="G7" s="6"/>
      <c r="H7" s="6"/>
      <c r="I7" s="6"/>
      <c r="J7" s="6"/>
      <c r="K7" s="6">
        <f>K15+K41</f>
        <v>824416</v>
      </c>
      <c r="N7" t="s">
        <v>199</v>
      </c>
      <c r="Q7" s="65">
        <v>0.19</v>
      </c>
      <c r="R7" s="65">
        <v>0.17</v>
      </c>
      <c r="S7" s="65">
        <v>0.17</v>
      </c>
      <c r="T7" s="65">
        <v>0.14000000000000001</v>
      </c>
      <c r="U7" s="65">
        <v>0.15</v>
      </c>
      <c r="V7" s="65">
        <v>0.14000000000000001</v>
      </c>
      <c r="W7" s="65">
        <v>0.14000000000000001</v>
      </c>
      <c r="X7" s="65">
        <v>0.14000000000000001</v>
      </c>
      <c r="Y7" s="65">
        <v>0.14000000000000001</v>
      </c>
    </row>
    <row r="8" spans="1:27" x14ac:dyDescent="0.3">
      <c r="B8" t="s">
        <v>41</v>
      </c>
      <c r="C8" s="6"/>
      <c r="D8" s="6"/>
      <c r="E8" s="6"/>
      <c r="F8" s="6"/>
      <c r="G8" s="6"/>
      <c r="H8" s="6"/>
      <c r="I8" s="6"/>
      <c r="J8" s="6"/>
      <c r="K8" s="6"/>
      <c r="N8" t="s">
        <v>200</v>
      </c>
      <c r="Q8" s="65">
        <v>0.09</v>
      </c>
      <c r="R8" s="65">
        <v>0.09</v>
      </c>
      <c r="S8" s="65">
        <v>0.08</v>
      </c>
      <c r="T8" s="65">
        <v>7.0000000000000007E-2</v>
      </c>
      <c r="U8" s="65">
        <v>7.0000000000000007E-2</v>
      </c>
      <c r="V8" s="65">
        <v>7.0000000000000007E-2</v>
      </c>
      <c r="W8" s="65">
        <v>7.0000000000000007E-2</v>
      </c>
      <c r="X8" s="65">
        <v>0.06</v>
      </c>
      <c r="Y8" s="65">
        <v>7.0000000000000007E-2</v>
      </c>
      <c r="AA8" s="65"/>
    </row>
    <row r="9" spans="1:27" x14ac:dyDescent="0.3">
      <c r="B9" s="1" t="s">
        <v>42</v>
      </c>
      <c r="C9" s="6">
        <v>-46109</v>
      </c>
      <c r="D9" s="6">
        <v>-48058</v>
      </c>
      <c r="E9" s="6">
        <v>-52783</v>
      </c>
      <c r="F9" s="6">
        <v>-57232</v>
      </c>
      <c r="G9" s="6">
        <v>-56547</v>
      </c>
      <c r="H9" s="6">
        <v>-61280</v>
      </c>
      <c r="I9" s="6">
        <v>-63743</v>
      </c>
      <c r="J9" s="6">
        <v>-64857</v>
      </c>
      <c r="K9" s="6">
        <v>-67757</v>
      </c>
      <c r="N9" t="s">
        <v>201</v>
      </c>
      <c r="Q9" s="65">
        <v>0.08</v>
      </c>
      <c r="R9" s="65">
        <v>0.08</v>
      </c>
      <c r="S9" s="65">
        <v>7.0000000000000007E-2</v>
      </c>
      <c r="T9" s="65">
        <v>0.06</v>
      </c>
      <c r="U9" s="65">
        <v>7.0000000000000007E-2</v>
      </c>
      <c r="V9" s="65">
        <v>7.0000000000000007E-2</v>
      </c>
      <c r="W9" s="65">
        <v>7.0000000000000007E-2</v>
      </c>
      <c r="X9" s="65">
        <v>0.06</v>
      </c>
      <c r="Y9" s="65">
        <v>0.05</v>
      </c>
    </row>
    <row r="10" spans="1:27" x14ac:dyDescent="0.3">
      <c r="B10" s="1" t="s">
        <v>463</v>
      </c>
      <c r="C10" s="6">
        <v>-19248</v>
      </c>
      <c r="D10" s="6">
        <v>-22238</v>
      </c>
      <c r="E10" s="6">
        <v>-26295</v>
      </c>
      <c r="F10" s="6">
        <v>-29108</v>
      </c>
      <c r="G10" s="6">
        <v>-28639</v>
      </c>
      <c r="H10" s="6">
        <v>-23228</v>
      </c>
      <c r="I10" s="6">
        <v>-24022</v>
      </c>
      <c r="J10" s="6">
        <v>-23333</v>
      </c>
      <c r="K10" s="6">
        <v>-26249</v>
      </c>
      <c r="L10" s="6"/>
      <c r="N10" t="s">
        <v>202</v>
      </c>
      <c r="Q10" s="65">
        <v>0.05</v>
      </c>
      <c r="R10" s="65">
        <v>0.05</v>
      </c>
      <c r="S10" s="65">
        <v>0.04</v>
      </c>
      <c r="T10" s="65">
        <v>0.03</v>
      </c>
      <c r="U10" s="65">
        <v>0.03</v>
      </c>
      <c r="V10" s="65">
        <v>0.03</v>
      </c>
      <c r="W10" s="65">
        <v>0.03</v>
      </c>
      <c r="X10" s="65">
        <v>0.03</v>
      </c>
      <c r="Y10" s="65">
        <v>0.03</v>
      </c>
    </row>
    <row r="11" spans="1:27" x14ac:dyDescent="0.3">
      <c r="B11" s="3" t="s">
        <v>44</v>
      </c>
      <c r="C11" s="9">
        <v>-65357</v>
      </c>
      <c r="D11" s="9">
        <v>-70296</v>
      </c>
      <c r="E11" s="9">
        <v>-79078</v>
      </c>
      <c r="F11" s="9">
        <v>-86340</v>
      </c>
      <c r="G11" s="9">
        <v>-85186</v>
      </c>
      <c r="H11" s="9">
        <v>-84508</v>
      </c>
      <c r="I11" s="9">
        <v>-87765</v>
      </c>
      <c r="J11" s="9">
        <v>-88190</v>
      </c>
      <c r="K11" s="9">
        <v>-94006</v>
      </c>
      <c r="N11" t="s">
        <v>203</v>
      </c>
      <c r="Q11" s="65">
        <v>0.04</v>
      </c>
      <c r="R11" s="65">
        <v>0.03</v>
      </c>
      <c r="S11" s="65">
        <v>0.04</v>
      </c>
      <c r="T11" s="65">
        <v>0.04</v>
      </c>
      <c r="U11" s="65">
        <v>0.04</v>
      </c>
      <c r="V11" s="65">
        <v>0.03</v>
      </c>
      <c r="W11" s="65">
        <v>0.04</v>
      </c>
      <c r="X11" s="65">
        <v>0.04</v>
      </c>
      <c r="Y11" s="65">
        <v>0.04</v>
      </c>
    </row>
    <row r="12" spans="1:27" x14ac:dyDescent="0.3">
      <c r="C12" s="6"/>
      <c r="D12" s="6"/>
      <c r="E12" s="6"/>
      <c r="F12" s="6"/>
      <c r="G12" s="6"/>
      <c r="H12" s="6"/>
      <c r="I12" s="6"/>
      <c r="J12" s="6"/>
      <c r="K12" s="6"/>
      <c r="N12" t="s">
        <v>204</v>
      </c>
      <c r="Q12" s="65">
        <v>0.01</v>
      </c>
      <c r="R12" s="65">
        <v>0.01</v>
      </c>
      <c r="S12" s="65">
        <v>0.01</v>
      </c>
      <c r="T12" s="65">
        <v>0.01</v>
      </c>
      <c r="U12" s="65">
        <v>0.01</v>
      </c>
      <c r="V12" s="65">
        <v>0.01</v>
      </c>
      <c r="W12" s="65">
        <v>0.01</v>
      </c>
      <c r="X12" s="65">
        <v>0.01</v>
      </c>
      <c r="Y12" s="65">
        <v>0.01</v>
      </c>
    </row>
    <row r="13" spans="1:27" x14ac:dyDescent="0.3">
      <c r="B13" t="s">
        <v>45</v>
      </c>
      <c r="C13" s="6">
        <v>-130</v>
      </c>
      <c r="D13" s="6">
        <v>-1273</v>
      </c>
      <c r="E13" s="6">
        <v>499</v>
      </c>
      <c r="F13" s="6">
        <v>-326</v>
      </c>
      <c r="G13" s="6">
        <v>-1128</v>
      </c>
      <c r="H13" s="6">
        <v>562</v>
      </c>
      <c r="I13" s="6">
        <v>-93</v>
      </c>
      <c r="J13" s="6">
        <v>1106</v>
      </c>
      <c r="K13" s="6">
        <v>1677</v>
      </c>
      <c r="N13" t="s">
        <v>205</v>
      </c>
      <c r="Q13" s="65">
        <v>0.03</v>
      </c>
      <c r="R13" s="65">
        <v>0.02</v>
      </c>
      <c r="S13" s="65">
        <v>0.02</v>
      </c>
      <c r="T13" s="65">
        <v>0.02</v>
      </c>
      <c r="U13" s="65">
        <v>0.02</v>
      </c>
      <c r="V13" s="65">
        <v>0.02</v>
      </c>
      <c r="W13" s="65">
        <v>0.01</v>
      </c>
      <c r="X13" s="65">
        <v>0.01</v>
      </c>
      <c r="Y13" s="65">
        <v>0.01</v>
      </c>
    </row>
    <row r="14" spans="1:27" x14ac:dyDescent="0.3">
      <c r="C14" s="6"/>
      <c r="D14" s="6"/>
      <c r="E14" s="6"/>
      <c r="F14" s="6"/>
      <c r="G14" s="6"/>
      <c r="H14" s="6"/>
      <c r="I14" s="6"/>
      <c r="J14" s="6"/>
      <c r="K14" s="6"/>
      <c r="L14" s="6"/>
      <c r="N14" t="s">
        <v>206</v>
      </c>
      <c r="Q14" s="65">
        <v>0.04</v>
      </c>
      <c r="R14" s="65">
        <v>0.04</v>
      </c>
      <c r="S14" s="65">
        <v>0.04</v>
      </c>
      <c r="T14" s="65">
        <v>0.03</v>
      </c>
      <c r="U14" s="65">
        <v>0.03</v>
      </c>
      <c r="V14" s="65">
        <v>0.03</v>
      </c>
      <c r="W14" s="65">
        <v>0.03</v>
      </c>
      <c r="X14" s="65">
        <v>0.02</v>
      </c>
      <c r="Y14" s="65">
        <v>0.02</v>
      </c>
    </row>
    <row r="15" spans="1:27" x14ac:dyDescent="0.3">
      <c r="B15" s="3" t="s">
        <v>46</v>
      </c>
      <c r="C15" s="9">
        <v>249018</v>
      </c>
      <c r="D15" s="9">
        <v>286556</v>
      </c>
      <c r="E15" s="9">
        <v>360766</v>
      </c>
      <c r="F15" s="9">
        <v>425713</v>
      </c>
      <c r="G15" s="9">
        <v>407081</v>
      </c>
      <c r="H15" s="9">
        <v>463423</v>
      </c>
      <c r="I15" s="9">
        <v>500685</v>
      </c>
      <c r="J15" s="9">
        <v>564903</v>
      </c>
      <c r="K15" s="9">
        <v>658966</v>
      </c>
      <c r="N15" t="s">
        <v>207</v>
      </c>
      <c r="Q15" s="65">
        <v>0.01</v>
      </c>
      <c r="R15" s="65">
        <v>0.01</v>
      </c>
      <c r="S15" s="65">
        <v>0.01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</row>
    <row r="16" spans="1:27" x14ac:dyDescent="0.3">
      <c r="C16" s="6"/>
      <c r="D16" s="6"/>
      <c r="E16" s="6"/>
      <c r="F16" s="6"/>
      <c r="G16" s="6"/>
      <c r="H16" s="6"/>
      <c r="I16" s="6"/>
      <c r="J16" s="6"/>
      <c r="K16" s="6"/>
    </row>
    <row r="17" spans="2:25" x14ac:dyDescent="0.3">
      <c r="B17" t="s">
        <v>47</v>
      </c>
      <c r="C17" s="6"/>
      <c r="D17" s="6"/>
      <c r="E17" s="6"/>
      <c r="F17" s="6"/>
      <c r="G17" s="6"/>
      <c r="H17" s="6"/>
      <c r="I17" s="6"/>
      <c r="J17" s="6"/>
      <c r="K17" s="6"/>
      <c r="N17" t="s">
        <v>509</v>
      </c>
    </row>
    <row r="18" spans="2:25" x14ac:dyDescent="0.3">
      <c r="B18" s="1" t="s">
        <v>48</v>
      </c>
      <c r="C18" s="6">
        <v>878</v>
      </c>
      <c r="D18" s="6">
        <v>1152</v>
      </c>
      <c r="E18" s="6">
        <v>1561</v>
      </c>
      <c r="F18" s="6">
        <v>1289</v>
      </c>
      <c r="G18" s="6">
        <v>1368</v>
      </c>
      <c r="H18" s="6">
        <v>1222</v>
      </c>
      <c r="I18" s="6">
        <v>1424</v>
      </c>
      <c r="J18" s="6">
        <v>1483</v>
      </c>
      <c r="K18" s="6">
        <v>1685</v>
      </c>
      <c r="N18" t="s">
        <v>209</v>
      </c>
      <c r="Q18" s="65">
        <v>0.46</v>
      </c>
      <c r="R18" s="65">
        <v>0.52</v>
      </c>
      <c r="S18" s="65">
        <v>0.51</v>
      </c>
      <c r="T18" s="65">
        <v>0.53</v>
      </c>
      <c r="U18" s="65">
        <v>0.59</v>
      </c>
      <c r="V18" s="65">
        <v>0.6</v>
      </c>
      <c r="W18" s="65">
        <v>0.56999999999999995</v>
      </c>
      <c r="X18" s="65">
        <v>0.55000000000000004</v>
      </c>
      <c r="Y18" s="65">
        <v>0.61</v>
      </c>
    </row>
    <row r="19" spans="2:25" x14ac:dyDescent="0.3">
      <c r="B19" s="1" t="s">
        <v>51</v>
      </c>
      <c r="C19" s="6">
        <v>16661</v>
      </c>
      <c r="D19" s="6">
        <v>18341</v>
      </c>
      <c r="E19" s="6">
        <v>19966</v>
      </c>
      <c r="F19" s="6">
        <v>21750</v>
      </c>
      <c r="G19" s="6">
        <v>22182</v>
      </c>
      <c r="H19" s="6">
        <v>21501</v>
      </c>
      <c r="I19" s="6">
        <v>23222</v>
      </c>
      <c r="J19" s="6">
        <v>26463</v>
      </c>
      <c r="K19" s="6">
        <v>26146</v>
      </c>
      <c r="N19" t="s">
        <v>210</v>
      </c>
      <c r="Q19" s="65">
        <v>0.38</v>
      </c>
      <c r="R19" s="65">
        <v>0.33</v>
      </c>
      <c r="S19" s="65">
        <v>0.34</v>
      </c>
      <c r="T19" s="65">
        <v>0.35</v>
      </c>
      <c r="U19" s="65">
        <v>0.28000000000000003</v>
      </c>
      <c r="V19" s="65">
        <v>0.27</v>
      </c>
      <c r="W19" s="65">
        <v>0.3</v>
      </c>
      <c r="X19" s="65">
        <v>0.32</v>
      </c>
      <c r="Y19" s="65">
        <v>0.26</v>
      </c>
    </row>
    <row r="20" spans="2:25" x14ac:dyDescent="0.3">
      <c r="B20" s="1" t="s">
        <v>49</v>
      </c>
      <c r="C20" s="6">
        <v>-14</v>
      </c>
      <c r="D20" s="6">
        <v>262</v>
      </c>
      <c r="E20" s="6">
        <v>1894</v>
      </c>
      <c r="F20" s="6">
        <v>46</v>
      </c>
      <c r="G20" s="6">
        <v>264</v>
      </c>
      <c r="H20" s="6">
        <v>6890</v>
      </c>
      <c r="I20" s="6">
        <v>38</v>
      </c>
      <c r="J20" s="6">
        <v>-486</v>
      </c>
      <c r="K20" s="6">
        <v>1003</v>
      </c>
      <c r="N20" t="s">
        <v>211</v>
      </c>
      <c r="Q20" s="65">
        <v>0.06</v>
      </c>
      <c r="R20" s="65">
        <v>0.06</v>
      </c>
      <c r="S20" s="65">
        <v>7.0000000000000007E-2</v>
      </c>
      <c r="T20" s="65">
        <v>0.05</v>
      </c>
      <c r="U20" s="65">
        <v>0.05</v>
      </c>
      <c r="V20" s="65">
        <v>0.05</v>
      </c>
      <c r="W20" s="65">
        <v>0.05</v>
      </c>
      <c r="X20" s="65">
        <v>0.05</v>
      </c>
      <c r="Y20" s="65">
        <v>0.06</v>
      </c>
    </row>
    <row r="21" spans="2:25" x14ac:dyDescent="0.3">
      <c r="B21" s="3" t="s">
        <v>50</v>
      </c>
      <c r="C21" s="9">
        <v>17525</v>
      </c>
      <c r="D21" s="9">
        <v>19755</v>
      </c>
      <c r="E21" s="9">
        <v>23421</v>
      </c>
      <c r="F21" s="9">
        <v>23085</v>
      </c>
      <c r="G21" s="9">
        <v>23814</v>
      </c>
      <c r="H21" s="9">
        <v>29613</v>
      </c>
      <c r="I21" s="9">
        <v>24684</v>
      </c>
      <c r="J21" s="9">
        <v>27460</v>
      </c>
      <c r="K21" s="9">
        <v>28834</v>
      </c>
      <c r="N21" t="s">
        <v>212</v>
      </c>
      <c r="Q21" s="65">
        <v>0.06</v>
      </c>
      <c r="R21" s="65">
        <v>0.05</v>
      </c>
      <c r="S21" s="65">
        <v>0.05</v>
      </c>
      <c r="T21" s="65">
        <v>0.04</v>
      </c>
      <c r="U21" s="65">
        <v>0.05</v>
      </c>
      <c r="V21" s="65">
        <v>0.05</v>
      </c>
      <c r="W21" s="65">
        <v>0.05</v>
      </c>
      <c r="X21" s="65">
        <v>0.05</v>
      </c>
      <c r="Y21" s="65">
        <v>0.04</v>
      </c>
    </row>
    <row r="22" spans="2:25" x14ac:dyDescent="0.3">
      <c r="C22" s="6"/>
      <c r="D22" s="6"/>
      <c r="E22" s="6"/>
      <c r="F22" s="6"/>
      <c r="G22" s="6"/>
      <c r="H22" s="6"/>
      <c r="I22" s="6"/>
      <c r="J22" s="6"/>
      <c r="K22" s="6"/>
      <c r="N22" t="s">
        <v>213</v>
      </c>
      <c r="Q22" s="65">
        <v>0.02</v>
      </c>
      <c r="R22" s="65">
        <v>0.02</v>
      </c>
      <c r="S22" s="65">
        <v>0.01</v>
      </c>
      <c r="T22" s="65">
        <v>0.01</v>
      </c>
      <c r="U22" s="65">
        <v>0.01</v>
      </c>
      <c r="V22" s="65">
        <v>0.01</v>
      </c>
      <c r="W22" s="65">
        <v>0.01</v>
      </c>
      <c r="X22" s="65">
        <v>0.01</v>
      </c>
      <c r="Y22" s="65">
        <v>0.01</v>
      </c>
    </row>
    <row r="23" spans="2:25" x14ac:dyDescent="0.3">
      <c r="B23" s="3" t="s">
        <v>52</v>
      </c>
      <c r="C23" s="7">
        <v>266543</v>
      </c>
      <c r="D23" s="7">
        <v>306311</v>
      </c>
      <c r="E23" s="7">
        <v>384187</v>
      </c>
      <c r="F23" s="7">
        <v>448798</v>
      </c>
      <c r="G23" s="7">
        <v>430895</v>
      </c>
      <c r="H23" s="7">
        <v>493036</v>
      </c>
      <c r="I23" s="7">
        <v>525369</v>
      </c>
      <c r="J23" s="7">
        <v>592363</v>
      </c>
      <c r="K23" s="7">
        <v>687800</v>
      </c>
      <c r="N23" t="s">
        <v>80</v>
      </c>
      <c r="Q23" s="65">
        <v>0.02</v>
      </c>
      <c r="R23" s="65">
        <v>0.02</v>
      </c>
      <c r="S23" s="65">
        <v>0.02</v>
      </c>
      <c r="T23" s="65">
        <v>0.02</v>
      </c>
      <c r="U23" s="65">
        <v>0.02</v>
      </c>
      <c r="V23" s="65">
        <v>0.02</v>
      </c>
      <c r="W23" s="65">
        <v>0.02</v>
      </c>
      <c r="X23" s="65">
        <v>0.02</v>
      </c>
      <c r="Y23" s="65">
        <v>0.02</v>
      </c>
    </row>
    <row r="24" spans="2:25" x14ac:dyDescent="0.3">
      <c r="C24" s="6"/>
      <c r="D24" s="6"/>
      <c r="E24" s="6"/>
      <c r="F24" s="6"/>
      <c r="G24" s="6"/>
      <c r="H24" s="6"/>
      <c r="I24" s="6"/>
      <c r="J24" s="6"/>
      <c r="K24" s="6"/>
    </row>
    <row r="25" spans="2:25" x14ac:dyDescent="0.3">
      <c r="B25" t="s">
        <v>53</v>
      </c>
      <c r="C25" s="6">
        <v>-41322</v>
      </c>
      <c r="D25" s="6">
        <v>-58649</v>
      </c>
      <c r="E25" s="6">
        <v>-59107</v>
      </c>
      <c r="F25" s="6">
        <v>-74329</v>
      </c>
      <c r="G25" s="6">
        <v>-70162</v>
      </c>
      <c r="H25" s="6">
        <v>-95543</v>
      </c>
      <c r="I25" s="6">
        <v>-73614</v>
      </c>
      <c r="J25" s="6">
        <v>-86947</v>
      </c>
      <c r="K25" s="6">
        <v>-114999</v>
      </c>
      <c r="N25" t="s">
        <v>509</v>
      </c>
    </row>
    <row r="26" spans="2:25" x14ac:dyDescent="0.3">
      <c r="C26" s="6"/>
      <c r="D26" s="6"/>
      <c r="E26" s="6"/>
      <c r="F26" s="6"/>
      <c r="G26" s="6"/>
      <c r="H26" s="6"/>
      <c r="I26" s="6"/>
      <c r="J26" s="6"/>
      <c r="K26" s="6"/>
      <c r="N26" t="s">
        <v>209</v>
      </c>
      <c r="Q26" s="6">
        <f>Q18*Model!G$4</f>
        <v>272616.24</v>
      </c>
      <c r="R26" s="6">
        <f>R18*Model!H$4</f>
        <v>350225.2</v>
      </c>
      <c r="S26" s="6">
        <f>S18*Model!I$4</f>
        <v>387442.92</v>
      </c>
      <c r="T26" s="6">
        <f>T18*Model!J$4</f>
        <v>460284.33</v>
      </c>
      <c r="U26" s="6">
        <f>U18*Model!K$4</f>
        <v>495159.86</v>
      </c>
      <c r="V26" s="6">
        <f>V18*Model!L$4</f>
        <v>560275.19999999995</v>
      </c>
      <c r="W26" s="6">
        <f>W18*Model!M$4</f>
        <v>564253.26</v>
      </c>
      <c r="X26" s="6">
        <f>X18*Model!N$4</f>
        <v>575349.5</v>
      </c>
      <c r="Y26" s="6">
        <f>Y18*Model!O$4</f>
        <v>691802.83</v>
      </c>
    </row>
    <row r="27" spans="2:25" x14ac:dyDescent="0.3">
      <c r="B27" s="3" t="s">
        <v>54</v>
      </c>
      <c r="C27" s="8">
        <v>225221</v>
      </c>
      <c r="D27" s="8">
        <v>247662</v>
      </c>
      <c r="E27" s="8">
        <v>325080</v>
      </c>
      <c r="F27" s="8">
        <v>374469</v>
      </c>
      <c r="G27" s="8">
        <v>360733</v>
      </c>
      <c r="H27" s="8">
        <v>397493</v>
      </c>
      <c r="I27" s="8">
        <v>451755</v>
      </c>
      <c r="J27" s="8">
        <v>505416</v>
      </c>
      <c r="K27" s="8">
        <v>572480</v>
      </c>
      <c r="N27" t="s">
        <v>210</v>
      </c>
      <c r="Q27" s="6">
        <f>Q19*Model!G$4</f>
        <v>225204.72</v>
      </c>
      <c r="R27" s="6">
        <f>R19*Model!H$4</f>
        <v>222258.30000000002</v>
      </c>
      <c r="S27" s="6">
        <f>S19*Model!I$4</f>
        <v>258295.28000000003</v>
      </c>
      <c r="T27" s="6">
        <f>T19*Model!J$4</f>
        <v>303961.34999999998</v>
      </c>
      <c r="U27" s="6">
        <f>U19*Model!K$4</f>
        <v>234991.12000000002</v>
      </c>
      <c r="V27" s="6">
        <f>V19*Model!L$4</f>
        <v>252123.84000000003</v>
      </c>
      <c r="W27" s="6">
        <f>W19*Model!M$4</f>
        <v>296975.39999999997</v>
      </c>
      <c r="X27" s="6">
        <f>X19*Model!N$4</f>
        <v>334748.79999999999</v>
      </c>
      <c r="Y27" s="6">
        <f>Y19*Model!O$4</f>
        <v>294866.78000000003</v>
      </c>
    </row>
    <row r="28" spans="2:25" x14ac:dyDescent="0.3">
      <c r="C28" s="6"/>
      <c r="D28" s="6"/>
      <c r="E28" s="6"/>
      <c r="F28" s="6"/>
      <c r="G28" s="6"/>
      <c r="H28" s="6"/>
      <c r="I28" s="6"/>
      <c r="J28" s="6"/>
      <c r="K28" s="6"/>
      <c r="N28" t="s">
        <v>211</v>
      </c>
      <c r="Q28" s="6">
        <f>Q20*Model!G$4</f>
        <v>35558.639999999999</v>
      </c>
      <c r="R28" s="6">
        <f>R20*Model!H$4</f>
        <v>40410.6</v>
      </c>
      <c r="S28" s="6">
        <f>S20*Model!I$4</f>
        <v>53178.44</v>
      </c>
      <c r="T28" s="6">
        <f>T20*Model!J$4</f>
        <v>43423.05</v>
      </c>
      <c r="U28" s="6">
        <f>U20*Model!K$4</f>
        <v>41962.700000000004</v>
      </c>
      <c r="V28" s="6">
        <f>V20*Model!L$4</f>
        <v>46689.600000000006</v>
      </c>
      <c r="W28" s="6">
        <f>W20*Model!M$4</f>
        <v>49495.9</v>
      </c>
      <c r="X28" s="6">
        <f>X20*Model!N$4</f>
        <v>52304.5</v>
      </c>
      <c r="Y28" s="6">
        <f>Y20*Model!O$4</f>
        <v>68046.179999999993</v>
      </c>
    </row>
    <row r="29" spans="2:25" x14ac:dyDescent="0.3">
      <c r="B29" t="s">
        <v>87</v>
      </c>
      <c r="C29" s="6">
        <v>41274</v>
      </c>
      <c r="D29" s="6">
        <v>13464</v>
      </c>
      <c r="E29" s="6">
        <v>-21056</v>
      </c>
      <c r="F29" s="6">
        <v>37903</v>
      </c>
      <c r="G29" s="6">
        <v>31897</v>
      </c>
      <c r="H29" s="6">
        <v>-254502</v>
      </c>
      <c r="I29" s="6">
        <v>95202</v>
      </c>
      <c r="J29" s="6">
        <v>71076</v>
      </c>
      <c r="K29" s="6">
        <v>53996</v>
      </c>
      <c r="N29" t="s">
        <v>212</v>
      </c>
      <c r="Q29" s="6">
        <f>Q21*Model!G$4</f>
        <v>35558.639999999999</v>
      </c>
      <c r="R29" s="6">
        <f>R21*Model!H$4</f>
        <v>33675.5</v>
      </c>
      <c r="S29" s="6">
        <f>S21*Model!I$4</f>
        <v>37984.6</v>
      </c>
      <c r="T29" s="6">
        <f>T21*Model!J$4</f>
        <v>34738.44</v>
      </c>
      <c r="U29" s="6">
        <f>U21*Model!K$4</f>
        <v>41962.700000000004</v>
      </c>
      <c r="V29" s="6">
        <f>V21*Model!L$4</f>
        <v>46689.600000000006</v>
      </c>
      <c r="W29" s="6">
        <f>W21*Model!M$4</f>
        <v>49495.9</v>
      </c>
      <c r="X29" s="6">
        <f>X21*Model!N$4</f>
        <v>52304.5</v>
      </c>
      <c r="Y29" s="6">
        <f>Y21*Model!O$4</f>
        <v>45364.12</v>
      </c>
    </row>
    <row r="30" spans="2:25" x14ac:dyDescent="0.3">
      <c r="B30" t="s">
        <v>55</v>
      </c>
      <c r="C30" s="6">
        <v>266495</v>
      </c>
      <c r="D30" s="6">
        <v>261126</v>
      </c>
      <c r="E30" s="6">
        <v>304024</v>
      </c>
      <c r="F30" s="6">
        <v>412372</v>
      </c>
      <c r="G30" s="6">
        <v>392630</v>
      </c>
      <c r="H30" s="6">
        <v>142991</v>
      </c>
      <c r="I30" s="6">
        <v>546957</v>
      </c>
      <c r="J30" s="6">
        <v>576492</v>
      </c>
      <c r="K30" s="6">
        <v>626797</v>
      </c>
      <c r="N30" t="s">
        <v>213</v>
      </c>
      <c r="Q30" s="6">
        <f>Q22*Model!G$4</f>
        <v>11852.880000000001</v>
      </c>
      <c r="R30" s="6">
        <f>R22*Model!H$4</f>
        <v>13470.2</v>
      </c>
      <c r="S30" s="6">
        <f>S22*Model!I$4</f>
        <v>7596.92</v>
      </c>
      <c r="T30" s="6">
        <f>T22*Model!J$4</f>
        <v>8684.61</v>
      </c>
      <c r="U30" s="6">
        <f>U22*Model!K$4</f>
        <v>8392.5400000000009</v>
      </c>
      <c r="V30" s="6">
        <f>V22*Model!L$4</f>
        <v>9337.92</v>
      </c>
      <c r="W30" s="6">
        <f>W22*Model!M$4</f>
        <v>9899.18</v>
      </c>
      <c r="X30" s="6">
        <f>X22*Model!N$4</f>
        <v>10460.9</v>
      </c>
      <c r="Y30" s="6">
        <f>Y22*Model!O$4</f>
        <v>11341.03</v>
      </c>
    </row>
    <row r="31" spans="2:25" x14ac:dyDescent="0.3">
      <c r="C31" s="6"/>
      <c r="D31" s="6"/>
      <c r="E31" s="6"/>
      <c r="F31" s="6"/>
      <c r="G31" s="6"/>
      <c r="H31" s="6"/>
      <c r="I31" s="6"/>
      <c r="J31" s="6"/>
      <c r="K31" s="6"/>
      <c r="N31" t="s">
        <v>80</v>
      </c>
      <c r="Q31" s="6">
        <f>Q23*Model!G$4</f>
        <v>11852.880000000001</v>
      </c>
      <c r="R31" s="6">
        <f>R23*Model!H$4</f>
        <v>13470.2</v>
      </c>
      <c r="S31" s="6">
        <f>S23*Model!I$4</f>
        <v>15193.84</v>
      </c>
      <c r="T31" s="6">
        <f>T23*Model!J$4</f>
        <v>17369.22</v>
      </c>
      <c r="U31" s="6">
        <f>U23*Model!K$4</f>
        <v>16785.080000000002</v>
      </c>
      <c r="V31" s="6">
        <f>V23*Model!L$4</f>
        <v>18675.84</v>
      </c>
      <c r="W31" s="6">
        <f>W23*Model!M$4</f>
        <v>19798.36</v>
      </c>
      <c r="X31" s="6">
        <f>X23*Model!N$4</f>
        <v>20921.8</v>
      </c>
      <c r="Y31" s="6">
        <f>Y23*Model!O$4</f>
        <v>22682.06</v>
      </c>
    </row>
    <row r="32" spans="2:25" x14ac:dyDescent="0.3">
      <c r="B32" t="s">
        <v>56</v>
      </c>
      <c r="C32" s="6">
        <v>225485</v>
      </c>
      <c r="D32" s="6">
        <v>247845</v>
      </c>
      <c r="E32" s="6">
        <v>325258</v>
      </c>
      <c r="F32" s="6">
        <v>374680</v>
      </c>
      <c r="G32" s="6">
        <v>361564</v>
      </c>
      <c r="H32" s="6">
        <v>398273</v>
      </c>
      <c r="I32" s="6">
        <v>452302</v>
      </c>
      <c r="J32" s="6">
        <v>505744</v>
      </c>
      <c r="K32" s="6">
        <v>572480</v>
      </c>
      <c r="N32" s="3" t="s">
        <v>215</v>
      </c>
      <c r="O32" s="3"/>
      <c r="P32" s="3"/>
      <c r="Q32" s="7">
        <f t="shared" ref="Q32:Y32" si="2">SUM(Q26:Q31)</f>
        <v>592644</v>
      </c>
      <c r="R32" s="7">
        <f t="shared" si="2"/>
        <v>673509.99999999988</v>
      </c>
      <c r="S32" s="7">
        <f t="shared" si="2"/>
        <v>759691.99999999988</v>
      </c>
      <c r="T32" s="7">
        <f t="shared" si="2"/>
        <v>868460.99999999988</v>
      </c>
      <c r="U32" s="7">
        <f t="shared" si="2"/>
        <v>839253.99999999988</v>
      </c>
      <c r="V32" s="7">
        <f t="shared" si="2"/>
        <v>933792</v>
      </c>
      <c r="W32" s="7">
        <f t="shared" si="2"/>
        <v>989918</v>
      </c>
      <c r="X32" s="7">
        <f t="shared" si="2"/>
        <v>1046090.0000000001</v>
      </c>
      <c r="Y32" s="7">
        <f t="shared" si="2"/>
        <v>1134103.0000000002</v>
      </c>
    </row>
    <row r="33" spans="1:25" x14ac:dyDescent="0.3">
      <c r="B33" t="s">
        <v>33</v>
      </c>
      <c r="C33" s="6">
        <v>-264</v>
      </c>
      <c r="D33" s="6">
        <v>-183</v>
      </c>
      <c r="E33" s="6">
        <v>-178</v>
      </c>
      <c r="F33" s="6">
        <v>-211</v>
      </c>
      <c r="G33" s="6">
        <v>-831</v>
      </c>
      <c r="H33" s="6">
        <v>-780</v>
      </c>
      <c r="I33" s="6">
        <v>-547</v>
      </c>
      <c r="J33" s="6">
        <v>-328</v>
      </c>
      <c r="K33" s="6">
        <v>321</v>
      </c>
    </row>
    <row r="34" spans="1:25" x14ac:dyDescent="0.3">
      <c r="C34" s="6">
        <v>225221</v>
      </c>
      <c r="D34" s="6">
        <v>247662</v>
      </c>
      <c r="E34" s="6">
        <v>325080</v>
      </c>
      <c r="F34" s="6">
        <v>374469</v>
      </c>
      <c r="G34" s="6">
        <v>360733</v>
      </c>
      <c r="H34" s="6">
        <v>397493</v>
      </c>
      <c r="I34" s="6">
        <v>451755</v>
      </c>
      <c r="J34" s="6">
        <v>505416</v>
      </c>
      <c r="K34" s="6">
        <v>572801</v>
      </c>
      <c r="N34" t="s">
        <v>208</v>
      </c>
    </row>
    <row r="35" spans="1:25" x14ac:dyDescent="0.3">
      <c r="N35" t="s">
        <v>197</v>
      </c>
      <c r="Q35" s="6">
        <f>Q5*Model!G$4</f>
        <v>53337.96</v>
      </c>
      <c r="R35" s="6">
        <f>R5*Model!H$4</f>
        <v>101026.5</v>
      </c>
      <c r="S35" s="6">
        <f>S5*Model!I$4</f>
        <v>151938.4</v>
      </c>
      <c r="T35" s="6">
        <f>T5*Model!J$4</f>
        <v>225799.86000000002</v>
      </c>
      <c r="U35" s="6">
        <f>U5*Model!K$4</f>
        <v>184635.88</v>
      </c>
      <c r="V35" s="6">
        <f>V5*Model!L$4</f>
        <v>224110.07999999999</v>
      </c>
      <c r="W35" s="6">
        <f>W5*Model!M$4</f>
        <v>227681.14</v>
      </c>
      <c r="X35" s="6">
        <f>X5*Model!N$4</f>
        <v>292905.2</v>
      </c>
      <c r="Y35" s="6">
        <f>Y5*Model!O$4</f>
        <v>317548.84000000003</v>
      </c>
    </row>
    <row r="36" spans="1:25" x14ac:dyDescent="0.3">
      <c r="A36" t="s">
        <v>90</v>
      </c>
      <c r="B36" s="3" t="s">
        <v>58</v>
      </c>
      <c r="N36" t="s">
        <v>198</v>
      </c>
      <c r="Q36" s="6">
        <f>Q6*Model!G$4</f>
        <v>219278.28</v>
      </c>
      <c r="R36" s="6">
        <f>R6*Model!H$4</f>
        <v>235728.49999999997</v>
      </c>
      <c r="S36" s="6">
        <f>S6*Model!I$4</f>
        <v>243101.44</v>
      </c>
      <c r="T36" s="6">
        <f>T6*Model!J$4</f>
        <v>295276.74000000005</v>
      </c>
      <c r="U36" s="6">
        <f>U6*Model!K$4</f>
        <v>302131.44</v>
      </c>
      <c r="V36" s="6">
        <f>V6*Model!L$4</f>
        <v>336165.12</v>
      </c>
      <c r="W36" s="6">
        <f>W6*Model!M$4</f>
        <v>366269.66</v>
      </c>
      <c r="X36" s="6">
        <f>X6*Model!N$4</f>
        <v>366131.5</v>
      </c>
      <c r="Y36" s="6">
        <f>Y6*Model!O$4</f>
        <v>396936.05</v>
      </c>
    </row>
    <row r="37" spans="1:25" x14ac:dyDescent="0.3">
      <c r="B37" s="4" t="s">
        <v>8</v>
      </c>
      <c r="C37" s="5">
        <f>C2</f>
        <v>45352</v>
      </c>
      <c r="D37" s="5">
        <f t="shared" ref="D37:K37" si="3">D2</f>
        <v>45473</v>
      </c>
      <c r="E37" s="5">
        <f t="shared" si="3"/>
        <v>45565</v>
      </c>
      <c r="F37" s="5">
        <f t="shared" si="3"/>
        <v>45657</v>
      </c>
      <c r="G37" s="5">
        <f t="shared" si="3"/>
        <v>45747</v>
      </c>
      <c r="H37" s="5">
        <f t="shared" si="3"/>
        <v>45838</v>
      </c>
      <c r="I37" s="5">
        <f t="shared" si="3"/>
        <v>45930</v>
      </c>
      <c r="J37" s="5">
        <f t="shared" si="3"/>
        <v>46022</v>
      </c>
      <c r="K37" s="5">
        <f t="shared" si="3"/>
        <v>46112</v>
      </c>
      <c r="N37" t="s">
        <v>199</v>
      </c>
      <c r="Q37" s="6">
        <f>Q7*Model!G$4</f>
        <v>112602.36</v>
      </c>
      <c r="R37" s="6">
        <f>R7*Model!H$4</f>
        <v>114496.70000000001</v>
      </c>
      <c r="S37" s="6">
        <f>S7*Model!I$4</f>
        <v>129147.64000000001</v>
      </c>
      <c r="T37" s="6">
        <f>T7*Model!J$4</f>
        <v>121584.54000000001</v>
      </c>
      <c r="U37" s="6">
        <f>U7*Model!K$4</f>
        <v>125888.09999999999</v>
      </c>
      <c r="V37" s="6">
        <f>V7*Model!L$4</f>
        <v>130730.88000000002</v>
      </c>
      <c r="W37" s="6">
        <f>W7*Model!M$4</f>
        <v>138588.52000000002</v>
      </c>
      <c r="X37" s="6">
        <f>X7*Model!N$4</f>
        <v>146452.6</v>
      </c>
      <c r="Y37" s="6">
        <f>Y7*Model!O$4</f>
        <v>158774.42000000001</v>
      </c>
    </row>
    <row r="38" spans="1:25" x14ac:dyDescent="0.3">
      <c r="N38" t="s">
        <v>200</v>
      </c>
      <c r="Q38" s="6">
        <f>Q8*Model!G$4</f>
        <v>53337.96</v>
      </c>
      <c r="R38" s="6">
        <f>R8*Model!H$4</f>
        <v>60615.899999999994</v>
      </c>
      <c r="S38" s="6">
        <f>S8*Model!I$4</f>
        <v>60775.360000000001</v>
      </c>
      <c r="T38" s="6">
        <f>T8*Model!J$4</f>
        <v>60792.270000000004</v>
      </c>
      <c r="U38" s="6">
        <f>U8*Model!K$4</f>
        <v>58747.780000000006</v>
      </c>
      <c r="V38" s="6">
        <f>V8*Model!L$4</f>
        <v>65365.44000000001</v>
      </c>
      <c r="W38" s="6">
        <f>W8*Model!M$4</f>
        <v>69294.260000000009</v>
      </c>
      <c r="X38" s="6">
        <f>X8*Model!N$4</f>
        <v>62765.399999999994</v>
      </c>
      <c r="Y38" s="6">
        <f>Y8*Model!O$4</f>
        <v>79387.210000000006</v>
      </c>
    </row>
    <row r="39" spans="1:25" x14ac:dyDescent="0.3">
      <c r="B39" t="s">
        <v>57</v>
      </c>
      <c r="N39" t="s">
        <v>201</v>
      </c>
      <c r="Q39" s="6">
        <f>Q9*Model!G$4</f>
        <v>47411.520000000004</v>
      </c>
      <c r="R39" s="6">
        <f>R9*Model!H$4</f>
        <v>53880.800000000003</v>
      </c>
      <c r="S39" s="6">
        <f>S9*Model!I$4</f>
        <v>53178.44</v>
      </c>
      <c r="T39" s="6">
        <f>T9*Model!J$4</f>
        <v>52107.659999999996</v>
      </c>
      <c r="U39" s="6">
        <f>U9*Model!K$4</f>
        <v>58747.780000000006</v>
      </c>
      <c r="V39" s="6">
        <f>V9*Model!L$4</f>
        <v>65365.44000000001</v>
      </c>
      <c r="W39" s="6">
        <f>W9*Model!M$4</f>
        <v>69294.260000000009</v>
      </c>
      <c r="X39" s="6">
        <f>X9*Model!N$4</f>
        <v>62765.399999999994</v>
      </c>
      <c r="Y39" s="6">
        <f>Y9*Model!O$4</f>
        <v>56705.15</v>
      </c>
    </row>
    <row r="40" spans="1:25" x14ac:dyDescent="0.3">
      <c r="B40" s="1" t="s">
        <v>59</v>
      </c>
      <c r="C40" s="6">
        <v>266543</v>
      </c>
      <c r="D40" s="6">
        <v>306311</v>
      </c>
      <c r="E40" s="6">
        <v>384187</v>
      </c>
      <c r="F40" s="6">
        <v>448798</v>
      </c>
      <c r="G40" s="6">
        <v>430895</v>
      </c>
      <c r="H40" s="6">
        <v>493036</v>
      </c>
      <c r="I40" s="6">
        <v>525369</v>
      </c>
      <c r="J40" s="6">
        <v>592363</v>
      </c>
      <c r="K40" s="6">
        <v>687800</v>
      </c>
      <c r="N40" t="s">
        <v>202</v>
      </c>
      <c r="Q40" s="6">
        <f>Q10*Model!G$4</f>
        <v>29632.2</v>
      </c>
      <c r="R40" s="6">
        <f>R10*Model!H$4</f>
        <v>33675.5</v>
      </c>
      <c r="S40" s="6">
        <f>S10*Model!I$4</f>
        <v>30387.68</v>
      </c>
      <c r="T40" s="6">
        <f>T10*Model!J$4</f>
        <v>26053.829999999998</v>
      </c>
      <c r="U40" s="6">
        <f>U10*Model!K$4</f>
        <v>25177.62</v>
      </c>
      <c r="V40" s="6">
        <f>V10*Model!L$4</f>
        <v>28013.759999999998</v>
      </c>
      <c r="W40" s="6">
        <f>W10*Model!M$4</f>
        <v>29697.539999999997</v>
      </c>
      <c r="X40" s="6">
        <f>X10*Model!N$4</f>
        <v>31382.699999999997</v>
      </c>
      <c r="Y40" s="6">
        <f>Y10*Model!O$4</f>
        <v>34023.089999999997</v>
      </c>
    </row>
    <row r="41" spans="1:25" x14ac:dyDescent="0.3">
      <c r="B41" s="1" t="s">
        <v>60</v>
      </c>
      <c r="C41" s="6">
        <v>159023</v>
      </c>
      <c r="D41" s="6">
        <v>165166</v>
      </c>
      <c r="E41" s="6">
        <v>168229</v>
      </c>
      <c r="F41" s="6">
        <v>170378</v>
      </c>
      <c r="G41" s="6">
        <v>175139</v>
      </c>
      <c r="H41" s="6">
        <v>188058</v>
      </c>
      <c r="I41" s="6">
        <v>162787</v>
      </c>
      <c r="J41" s="6">
        <v>162112</v>
      </c>
      <c r="K41" s="6">
        <v>165450</v>
      </c>
      <c r="N41" t="s">
        <v>203</v>
      </c>
      <c r="Q41" s="6">
        <f>Q11*Model!G$4</f>
        <v>23705.760000000002</v>
      </c>
      <c r="R41" s="6">
        <f>R11*Model!H$4</f>
        <v>20205.3</v>
      </c>
      <c r="S41" s="6">
        <f>S11*Model!I$4</f>
        <v>30387.68</v>
      </c>
      <c r="T41" s="6">
        <f>T11*Model!J$4</f>
        <v>34738.44</v>
      </c>
      <c r="U41" s="6">
        <f>U11*Model!K$4</f>
        <v>33570.160000000003</v>
      </c>
      <c r="V41" s="6">
        <f>V11*Model!L$4</f>
        <v>28013.759999999998</v>
      </c>
      <c r="W41" s="6">
        <f>W11*Model!M$4</f>
        <v>39596.720000000001</v>
      </c>
      <c r="X41" s="6">
        <f>X11*Model!N$4</f>
        <v>41843.599999999999</v>
      </c>
      <c r="Y41" s="6">
        <f>Y11*Model!O$4</f>
        <v>45364.12</v>
      </c>
    </row>
    <row r="42" spans="1:25" x14ac:dyDescent="0.3">
      <c r="B42" s="1" t="s">
        <v>61</v>
      </c>
      <c r="C42" s="6">
        <v>-878</v>
      </c>
      <c r="D42" s="6">
        <v>-1152</v>
      </c>
      <c r="E42" s="6">
        <v>-1561</v>
      </c>
      <c r="F42" s="6">
        <v>-1289</v>
      </c>
      <c r="G42" s="6">
        <v>-1368</v>
      </c>
      <c r="H42" s="6">
        <v>-1222</v>
      </c>
      <c r="I42" s="6">
        <v>-1424</v>
      </c>
      <c r="J42" s="6">
        <v>-1483</v>
      </c>
      <c r="K42" s="6">
        <v>-1685</v>
      </c>
      <c r="N42" t="s">
        <v>204</v>
      </c>
      <c r="Q42" s="6">
        <f>Q12*Model!G$4</f>
        <v>5926.4400000000005</v>
      </c>
      <c r="R42" s="6">
        <f>R12*Model!H$4</f>
        <v>6735.1</v>
      </c>
      <c r="S42" s="6">
        <f>S12*Model!I$4</f>
        <v>7596.92</v>
      </c>
      <c r="T42" s="6">
        <f>T12*Model!J$4</f>
        <v>8684.61</v>
      </c>
      <c r="U42" s="6">
        <f>U12*Model!K$4</f>
        <v>8392.5400000000009</v>
      </c>
      <c r="V42" s="6">
        <f>V12*Model!L$4</f>
        <v>9337.92</v>
      </c>
      <c r="W42" s="6">
        <f>W12*Model!M$4</f>
        <v>9899.18</v>
      </c>
      <c r="X42" s="6">
        <f>X12*Model!N$4</f>
        <v>10460.9</v>
      </c>
      <c r="Y42" s="6">
        <f>Y12*Model!O$4</f>
        <v>11341.03</v>
      </c>
    </row>
    <row r="43" spans="1:25" x14ac:dyDescent="0.3">
      <c r="B43" s="1" t="s">
        <v>62</v>
      </c>
      <c r="C43" s="6">
        <v>-1051</v>
      </c>
      <c r="D43" s="6">
        <v>-88103</v>
      </c>
      <c r="E43" s="6">
        <v>-93295</v>
      </c>
      <c r="F43" s="6">
        <v>-1190</v>
      </c>
      <c r="G43" s="6">
        <v>-1537</v>
      </c>
      <c r="H43" s="6">
        <v>-127347</v>
      </c>
      <c r="I43" s="6">
        <v>-137266</v>
      </c>
      <c r="J43" s="6">
        <v>-1407</v>
      </c>
      <c r="K43" s="6">
        <v>-1501</v>
      </c>
      <c r="N43" t="s">
        <v>205</v>
      </c>
      <c r="Q43" s="6">
        <f>Q13*Model!G$4</f>
        <v>17779.32</v>
      </c>
      <c r="R43" s="6">
        <f>R13*Model!H$4</f>
        <v>13470.2</v>
      </c>
      <c r="S43" s="6">
        <f>S13*Model!I$4</f>
        <v>15193.84</v>
      </c>
      <c r="T43" s="6">
        <f>T13*Model!J$4</f>
        <v>17369.22</v>
      </c>
      <c r="U43" s="6">
        <f>U13*Model!K$4</f>
        <v>16785.080000000002</v>
      </c>
      <c r="V43" s="6">
        <f>V13*Model!L$4</f>
        <v>18675.84</v>
      </c>
      <c r="W43" s="6">
        <f>W13*Model!M$4</f>
        <v>9899.18</v>
      </c>
      <c r="X43" s="6">
        <f>X13*Model!N$4</f>
        <v>10460.9</v>
      </c>
      <c r="Y43" s="6">
        <f>Y13*Model!O$4</f>
        <v>11341.03</v>
      </c>
    </row>
    <row r="44" spans="1:25" x14ac:dyDescent="0.3">
      <c r="B44" s="1" t="s">
        <v>63</v>
      </c>
      <c r="C44" s="6">
        <v>12674</v>
      </c>
      <c r="D44" s="6">
        <v>-4554</v>
      </c>
      <c r="E44" s="6">
        <v>-65567</v>
      </c>
      <c r="F44" s="6">
        <v>3508</v>
      </c>
      <c r="G44" s="6">
        <v>22445</v>
      </c>
      <c r="H44" s="6">
        <v>-55461</v>
      </c>
      <c r="I44" s="6">
        <v>-122637</v>
      </c>
      <c r="J44" s="6">
        <v>-26076</v>
      </c>
      <c r="K44" s="6">
        <v>-151088</v>
      </c>
      <c r="N44" t="s">
        <v>206</v>
      </c>
      <c r="Q44" s="6">
        <f>Q14*Model!G$4</f>
        <v>23705.760000000002</v>
      </c>
      <c r="R44" s="6">
        <f>R14*Model!H$4</f>
        <v>26940.400000000001</v>
      </c>
      <c r="S44" s="6">
        <f>S14*Model!I$4</f>
        <v>30387.68</v>
      </c>
      <c r="T44" s="6">
        <f>T14*Model!J$4</f>
        <v>26053.829999999998</v>
      </c>
      <c r="U44" s="6">
        <f>U14*Model!K$4</f>
        <v>25177.62</v>
      </c>
      <c r="V44" s="6">
        <f>V14*Model!L$4</f>
        <v>28013.759999999998</v>
      </c>
      <c r="W44" s="6">
        <f>W14*Model!M$4</f>
        <v>29697.539999999997</v>
      </c>
      <c r="X44" s="6">
        <f>X14*Model!N$4</f>
        <v>20921.8</v>
      </c>
      <c r="Y44" s="6">
        <f>Y14*Model!O$4</f>
        <v>22682.06</v>
      </c>
    </row>
    <row r="45" spans="1:25" x14ac:dyDescent="0.3">
      <c r="B45" s="3" t="s">
        <v>64</v>
      </c>
      <c r="C45" s="9">
        <v>436311</v>
      </c>
      <c r="D45" s="9">
        <v>377668</v>
      </c>
      <c r="E45" s="9">
        <v>391993</v>
      </c>
      <c r="F45" s="9">
        <v>620205</v>
      </c>
      <c r="G45" s="9">
        <v>625574</v>
      </c>
      <c r="H45" s="9">
        <v>497064</v>
      </c>
      <c r="I45" s="9">
        <v>426829</v>
      </c>
      <c r="J45" s="9">
        <v>725509</v>
      </c>
      <c r="K45" s="9">
        <v>689976</v>
      </c>
      <c r="N45" t="s">
        <v>207</v>
      </c>
      <c r="Q45" s="6">
        <f>Q15*Model!G$4</f>
        <v>5926.4400000000005</v>
      </c>
      <c r="R45" s="6">
        <f>R15*Model!H$4</f>
        <v>6735.1</v>
      </c>
      <c r="S45" s="6">
        <f>S15*Model!I$4</f>
        <v>7596.92</v>
      </c>
      <c r="T45" s="6">
        <f>T15*Model!J$4</f>
        <v>0</v>
      </c>
      <c r="U45" s="6">
        <f>U15*Model!K$4</f>
        <v>0</v>
      </c>
      <c r="V45" s="6">
        <f>V15*Model!L$4</f>
        <v>0</v>
      </c>
      <c r="W45" s="6">
        <f>W15*Model!M$4</f>
        <v>0</v>
      </c>
      <c r="X45" s="6">
        <f>X15*Model!N$4</f>
        <v>0</v>
      </c>
      <c r="Y45" s="6">
        <f>Y15*Model!O$4</f>
        <v>0</v>
      </c>
    </row>
    <row r="46" spans="1:25" x14ac:dyDescent="0.3">
      <c r="C46" s="6"/>
      <c r="D46" s="6"/>
      <c r="E46" s="6"/>
      <c r="F46" s="6"/>
      <c r="G46" s="6"/>
      <c r="H46" s="6"/>
      <c r="I46" s="6"/>
      <c r="J46" s="6"/>
      <c r="K46" s="6"/>
      <c r="N46" s="3" t="s">
        <v>215</v>
      </c>
      <c r="Q46" s="7">
        <f t="shared" ref="Q46:Y46" si="4">SUM(Q35:Q45)</f>
        <v>592643.99999999988</v>
      </c>
      <c r="R46" s="7">
        <f t="shared" si="4"/>
        <v>673510</v>
      </c>
      <c r="S46" s="7">
        <f t="shared" si="4"/>
        <v>759692.00000000023</v>
      </c>
      <c r="T46" s="7">
        <f t="shared" si="4"/>
        <v>868461</v>
      </c>
      <c r="U46" s="7">
        <f t="shared" si="4"/>
        <v>839254.00000000012</v>
      </c>
      <c r="V46" s="7">
        <f t="shared" si="4"/>
        <v>933792.00000000012</v>
      </c>
      <c r="W46" s="7">
        <f t="shared" si="4"/>
        <v>989918.00000000023</v>
      </c>
      <c r="X46" s="7">
        <f t="shared" si="4"/>
        <v>1046090</v>
      </c>
      <c r="Y46" s="7">
        <f t="shared" si="4"/>
        <v>1134103.0000000002</v>
      </c>
    </row>
    <row r="47" spans="1:25" x14ac:dyDescent="0.3">
      <c r="B47" t="s">
        <v>65</v>
      </c>
      <c r="C47" s="6"/>
      <c r="D47" s="6"/>
      <c r="E47" s="6"/>
      <c r="F47" s="6"/>
      <c r="G47" s="6"/>
      <c r="H47" s="6"/>
      <c r="I47" s="6"/>
      <c r="J47" s="6"/>
      <c r="K47" s="6"/>
      <c r="Y47" s="6"/>
    </row>
    <row r="48" spans="1:25" x14ac:dyDescent="0.3">
      <c r="B48" s="1" t="s">
        <v>66</v>
      </c>
      <c r="C48" s="6">
        <v>17410</v>
      </c>
      <c r="D48" s="6">
        <v>19195</v>
      </c>
      <c r="E48" s="6">
        <v>21356</v>
      </c>
      <c r="F48" s="6">
        <v>18473</v>
      </c>
      <c r="G48" s="6">
        <v>24419</v>
      </c>
      <c r="H48" s="6">
        <v>26025</v>
      </c>
      <c r="I48" s="6">
        <v>22351</v>
      </c>
      <c r="J48" s="6">
        <v>26160</v>
      </c>
      <c r="K48" s="6">
        <v>26746</v>
      </c>
    </row>
    <row r="49" spans="2:11" x14ac:dyDescent="0.3">
      <c r="B49" s="1" t="s">
        <v>67</v>
      </c>
      <c r="C49" s="6">
        <v>90</v>
      </c>
      <c r="D49" s="6">
        <v>805</v>
      </c>
      <c r="E49" s="6">
        <v>2405</v>
      </c>
      <c r="F49" s="6">
        <v>207</v>
      </c>
      <c r="G49" s="6">
        <v>95</v>
      </c>
      <c r="H49" s="6">
        <v>1091</v>
      </c>
      <c r="I49" s="6">
        <v>2705</v>
      </c>
      <c r="J49" s="6">
        <v>49</v>
      </c>
      <c r="K49" s="6">
        <v>1041</v>
      </c>
    </row>
    <row r="50" spans="2:11" x14ac:dyDescent="0.3">
      <c r="B50" s="1" t="s">
        <v>68</v>
      </c>
      <c r="C50" s="6"/>
      <c r="D50" s="6"/>
      <c r="E50" s="6"/>
      <c r="F50" s="6"/>
      <c r="G50" s="6"/>
      <c r="H50" s="6"/>
      <c r="I50" s="6"/>
      <c r="J50" s="6"/>
      <c r="K50" s="6"/>
    </row>
    <row r="51" spans="2:11" x14ac:dyDescent="0.3">
      <c r="B51" s="2" t="s">
        <v>11</v>
      </c>
      <c r="C51" s="6">
        <v>-181305</v>
      </c>
      <c r="D51" s="6">
        <v>-205674</v>
      </c>
      <c r="E51" s="6">
        <v>-207079</v>
      </c>
      <c r="F51" s="6">
        <v>-361949</v>
      </c>
      <c r="G51" s="6">
        <v>-330827</v>
      </c>
      <c r="H51" s="6">
        <v>-297226</v>
      </c>
      <c r="I51" s="6">
        <v>-287452</v>
      </c>
      <c r="J51" s="6">
        <v>-356906</v>
      </c>
      <c r="K51" s="6">
        <v>-350763</v>
      </c>
    </row>
    <row r="52" spans="2:11" x14ac:dyDescent="0.3">
      <c r="B52" s="2" t="s">
        <v>69</v>
      </c>
      <c r="C52" s="6">
        <v>-45800</v>
      </c>
      <c r="D52" s="6">
        <v>-63263</v>
      </c>
      <c r="E52" s="6">
        <v>-54209</v>
      </c>
      <c r="F52" s="6">
        <v>-77351</v>
      </c>
      <c r="G52" s="6">
        <v>-70741</v>
      </c>
      <c r="H52" s="6">
        <v>-61989</v>
      </c>
      <c r="I52" s="6">
        <v>-50445</v>
      </c>
      <c r="J52" s="6">
        <v>-72197</v>
      </c>
      <c r="K52" s="6">
        <v>-91621</v>
      </c>
    </row>
    <row r="53" spans="2:11" x14ac:dyDescent="0.3">
      <c r="B53" s="1" t="s">
        <v>70</v>
      </c>
      <c r="C53" s="6"/>
      <c r="D53" s="6"/>
      <c r="E53" s="6"/>
      <c r="F53" s="6"/>
      <c r="G53" s="6"/>
      <c r="H53" s="6"/>
      <c r="I53" s="6"/>
      <c r="J53" s="6"/>
      <c r="K53" s="6"/>
    </row>
    <row r="54" spans="2:11" x14ac:dyDescent="0.3">
      <c r="B54" s="2" t="s">
        <v>11</v>
      </c>
      <c r="C54" s="6">
        <v>337</v>
      </c>
      <c r="D54" s="6">
        <v>156</v>
      </c>
      <c r="E54" s="6">
        <v>146</v>
      </c>
      <c r="F54" s="6">
        <v>256</v>
      </c>
      <c r="G54" s="6">
        <v>128</v>
      </c>
      <c r="H54" s="6">
        <v>117</v>
      </c>
      <c r="I54" s="6">
        <v>70</v>
      </c>
      <c r="J54" s="6">
        <v>482</v>
      </c>
      <c r="K54" s="6">
        <v>1813</v>
      </c>
    </row>
    <row r="55" spans="2:11" x14ac:dyDescent="0.3">
      <c r="B55" s="2" t="s">
        <v>69</v>
      </c>
      <c r="C55" s="6">
        <v>50224</v>
      </c>
      <c r="D55" s="6">
        <v>44500</v>
      </c>
      <c r="E55" s="6">
        <v>34426</v>
      </c>
      <c r="F55" s="6">
        <v>56885</v>
      </c>
      <c r="G55" s="6">
        <v>53926</v>
      </c>
      <c r="H55" s="6">
        <v>73744</v>
      </c>
      <c r="I55" s="6">
        <v>49196</v>
      </c>
      <c r="J55" s="6">
        <v>41390</v>
      </c>
      <c r="K55" s="6">
        <v>61305</v>
      </c>
    </row>
    <row r="56" spans="2:11" x14ac:dyDescent="0.3">
      <c r="B56" s="1" t="s">
        <v>71</v>
      </c>
      <c r="C56" s="6">
        <v>-763</v>
      </c>
      <c r="D56" s="6">
        <v>6673</v>
      </c>
      <c r="E56" s="6">
        <v>7446</v>
      </c>
      <c r="F56" s="6">
        <v>51560</v>
      </c>
      <c r="G56" s="6">
        <v>32808</v>
      </c>
      <c r="H56" s="6">
        <v>29749</v>
      </c>
      <c r="I56" s="6">
        <v>3823</v>
      </c>
      <c r="J56" s="6">
        <v>-4939</v>
      </c>
      <c r="K56" s="6">
        <v>-5375</v>
      </c>
    </row>
    <row r="57" spans="2:11" x14ac:dyDescent="0.3">
      <c r="B57" s="3" t="s">
        <v>72</v>
      </c>
      <c r="C57" s="9">
        <v>-159807</v>
      </c>
      <c r="D57" s="9">
        <v>-197608</v>
      </c>
      <c r="E57" s="9">
        <v>-195509</v>
      </c>
      <c r="F57" s="9">
        <v>-311919</v>
      </c>
      <c r="G57" s="9">
        <v>-290192</v>
      </c>
      <c r="H57" s="9">
        <v>-228489</v>
      </c>
      <c r="I57" s="9">
        <v>-259752</v>
      </c>
      <c r="J57" s="9">
        <v>-365961</v>
      </c>
      <c r="K57" s="9">
        <v>-356854</v>
      </c>
    </row>
    <row r="58" spans="2:11" x14ac:dyDescent="0.3">
      <c r="C58" s="6"/>
      <c r="D58" s="6"/>
      <c r="E58" s="6"/>
      <c r="F58" s="6"/>
      <c r="G58" s="6"/>
      <c r="H58" s="6"/>
      <c r="I58" s="6"/>
      <c r="J58" s="6"/>
      <c r="K58" s="6"/>
    </row>
    <row r="59" spans="2:11" x14ac:dyDescent="0.3">
      <c r="B59" t="s">
        <v>73</v>
      </c>
      <c r="C59" s="6"/>
      <c r="D59" s="6"/>
      <c r="E59" s="6"/>
      <c r="F59" s="6"/>
      <c r="G59" s="6"/>
      <c r="H59" s="6"/>
      <c r="I59" s="6"/>
      <c r="J59" s="6"/>
      <c r="K59" s="6"/>
    </row>
    <row r="60" spans="2:11" x14ac:dyDescent="0.3">
      <c r="B60" s="1" t="s">
        <v>89</v>
      </c>
      <c r="C60" s="6">
        <v>-26496</v>
      </c>
      <c r="D60" s="6">
        <v>0</v>
      </c>
      <c r="E60" s="6">
        <v>0</v>
      </c>
      <c r="F60" s="6">
        <v>0</v>
      </c>
      <c r="G60" s="6">
        <v>0</v>
      </c>
      <c r="H60" s="6">
        <v>430</v>
      </c>
      <c r="I60" s="6">
        <v>0</v>
      </c>
      <c r="J60" s="6">
        <v>-95</v>
      </c>
      <c r="K60" s="6">
        <v>-182</v>
      </c>
    </row>
    <row r="61" spans="2:11" x14ac:dyDescent="0.3">
      <c r="B61" s="1" t="s">
        <v>74</v>
      </c>
      <c r="C61" s="6">
        <v>22800</v>
      </c>
      <c r="D61" s="6">
        <v>11500</v>
      </c>
      <c r="E61" s="6">
        <v>0</v>
      </c>
      <c r="F61" s="6">
        <v>0</v>
      </c>
      <c r="G61" s="6">
        <v>19200</v>
      </c>
      <c r="H61" s="6">
        <v>14100</v>
      </c>
      <c r="I61" s="6">
        <v>30100</v>
      </c>
      <c r="J61" s="6">
        <v>23500</v>
      </c>
      <c r="K61" s="6">
        <v>17200</v>
      </c>
    </row>
    <row r="62" spans="2:11" x14ac:dyDescent="0.3">
      <c r="B62" s="1" t="s">
        <v>75</v>
      </c>
      <c r="C62" s="6">
        <v>0</v>
      </c>
      <c r="D62" s="6">
        <v>0</v>
      </c>
      <c r="E62" s="6">
        <v>-5250</v>
      </c>
      <c r="F62" s="6">
        <v>-1750</v>
      </c>
      <c r="G62" s="6">
        <v>-3000</v>
      </c>
      <c r="H62" s="6">
        <v>-10400</v>
      </c>
      <c r="I62" s="6">
        <v>-39160</v>
      </c>
      <c r="J62" s="6">
        <v>-1750</v>
      </c>
      <c r="K62" s="6">
        <v>-4800</v>
      </c>
    </row>
    <row r="63" spans="2:11" x14ac:dyDescent="0.3">
      <c r="B63" s="1" t="s">
        <v>76</v>
      </c>
      <c r="C63" s="6">
        <v>6378</v>
      </c>
      <c r="D63" s="6">
        <v>0</v>
      </c>
      <c r="E63" s="6">
        <v>17064</v>
      </c>
      <c r="F63" s="6">
        <v>7455</v>
      </c>
      <c r="G63" s="6">
        <v>5395</v>
      </c>
      <c r="H63" s="6">
        <v>0</v>
      </c>
      <c r="I63" s="6">
        <v>2232</v>
      </c>
      <c r="J63" s="6">
        <v>3031</v>
      </c>
      <c r="K63" s="6">
        <v>2020</v>
      </c>
    </row>
    <row r="64" spans="2:11" x14ac:dyDescent="0.3">
      <c r="B64" s="1" t="s">
        <v>77</v>
      </c>
      <c r="C64" s="6">
        <v>-513</v>
      </c>
      <c r="D64" s="6">
        <v>-543</v>
      </c>
      <c r="E64" s="6">
        <v>-604</v>
      </c>
      <c r="F64" s="6">
        <v>-636</v>
      </c>
      <c r="G64" s="6">
        <v>-719</v>
      </c>
      <c r="H64" s="6">
        <v>-719</v>
      </c>
      <c r="I64" s="6">
        <v>-720</v>
      </c>
      <c r="J64" s="6">
        <v>-552</v>
      </c>
      <c r="K64" s="6">
        <v>-390</v>
      </c>
    </row>
    <row r="65" spans="1:11" x14ac:dyDescent="0.3">
      <c r="B65" s="1" t="s">
        <v>78</v>
      </c>
      <c r="C65" s="6">
        <v>-1779</v>
      </c>
      <c r="D65" s="6">
        <v>-6641</v>
      </c>
      <c r="E65" s="6">
        <v>-4385</v>
      </c>
      <c r="F65" s="6">
        <v>-5946</v>
      </c>
      <c r="G65" s="6">
        <v>-2516</v>
      </c>
      <c r="H65" s="6">
        <v>-7223</v>
      </c>
      <c r="I65" s="6">
        <v>-4040</v>
      </c>
      <c r="J65" s="6">
        <v>-5350</v>
      </c>
      <c r="K65" s="6">
        <v>-2747</v>
      </c>
    </row>
    <row r="66" spans="1:11" x14ac:dyDescent="0.3">
      <c r="B66" s="1" t="s">
        <v>79</v>
      </c>
      <c r="C66" s="6">
        <v>-77796</v>
      </c>
      <c r="D66" s="6">
        <v>-90762</v>
      </c>
      <c r="E66" s="6">
        <v>-90763</v>
      </c>
      <c r="F66" s="6">
        <v>-103734</v>
      </c>
      <c r="G66" s="6">
        <v>-103722</v>
      </c>
      <c r="H66" s="6">
        <v>-116697</v>
      </c>
      <c r="I66" s="6">
        <v>-116697</v>
      </c>
      <c r="J66" s="6">
        <v>-129663</v>
      </c>
      <c r="K66" s="6">
        <v>-129663</v>
      </c>
    </row>
    <row r="67" spans="1:11" x14ac:dyDescent="0.3">
      <c r="B67" s="1" t="s">
        <v>88</v>
      </c>
      <c r="C67" s="6">
        <v>0</v>
      </c>
      <c r="D67" s="6">
        <v>-3089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spans="1:11" x14ac:dyDescent="0.3">
      <c r="B68" s="1" t="s">
        <v>80</v>
      </c>
      <c r="C68" s="6">
        <v>5721</v>
      </c>
      <c r="D68" s="6">
        <v>-710</v>
      </c>
      <c r="E68" s="6">
        <v>299</v>
      </c>
      <c r="F68" s="6">
        <v>3879</v>
      </c>
      <c r="G68" s="6">
        <v>696</v>
      </c>
      <c r="H68" s="6">
        <v>809</v>
      </c>
      <c r="I68" s="6">
        <v>-9</v>
      </c>
      <c r="J68" s="6">
        <v>3194</v>
      </c>
      <c r="K68" s="6">
        <v>-1348</v>
      </c>
    </row>
    <row r="69" spans="1:11" x14ac:dyDescent="0.3">
      <c r="B69" s="3" t="s">
        <v>81</v>
      </c>
      <c r="C69" s="9">
        <v>-71685</v>
      </c>
      <c r="D69" s="9">
        <v>-90245</v>
      </c>
      <c r="E69" s="9">
        <v>-83639</v>
      </c>
      <c r="F69" s="9">
        <v>-100732</v>
      </c>
      <c r="G69" s="9">
        <v>-84666</v>
      </c>
      <c r="H69" s="9">
        <v>-119700</v>
      </c>
      <c r="I69" s="9">
        <v>-128294</v>
      </c>
      <c r="J69" s="9">
        <v>-107685</v>
      </c>
      <c r="K69" s="9">
        <v>-119910</v>
      </c>
    </row>
    <row r="70" spans="1:11" x14ac:dyDescent="0.3"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3">
      <c r="B71" t="s">
        <v>82</v>
      </c>
      <c r="C71" s="6">
        <v>27949</v>
      </c>
      <c r="D71" s="6">
        <v>11116</v>
      </c>
      <c r="E71" s="6">
        <v>-25191</v>
      </c>
      <c r="F71" s="6">
        <v>33292</v>
      </c>
      <c r="G71" s="6">
        <v>16461</v>
      </c>
      <c r="H71" s="6">
        <v>-179155</v>
      </c>
      <c r="I71" s="6">
        <v>67452</v>
      </c>
      <c r="J71" s="6">
        <v>45234</v>
      </c>
      <c r="K71" s="6">
        <v>45569</v>
      </c>
    </row>
    <row r="72" spans="1:11" x14ac:dyDescent="0.3"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3">
      <c r="B73" s="3" t="s">
        <v>83</v>
      </c>
      <c r="C73" s="8">
        <v>232768</v>
      </c>
      <c r="D73" s="8">
        <v>100931</v>
      </c>
      <c r="E73" s="8">
        <v>87654</v>
      </c>
      <c r="F73" s="8">
        <v>240846</v>
      </c>
      <c r="G73" s="8">
        <v>267177</v>
      </c>
      <c r="H73" s="8">
        <v>-30280</v>
      </c>
      <c r="I73" s="8">
        <v>106235</v>
      </c>
      <c r="J73" s="8">
        <v>297097</v>
      </c>
      <c r="K73" s="8">
        <v>267781</v>
      </c>
    </row>
    <row r="74" spans="1:11" x14ac:dyDescent="0.3"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3">
      <c r="B75" t="s">
        <v>84</v>
      </c>
      <c r="C75" s="6">
        <v>1465428</v>
      </c>
      <c r="D75" s="6">
        <v>1698196</v>
      </c>
      <c r="E75" s="6">
        <v>1799127</v>
      </c>
      <c r="F75" s="6">
        <v>1886781</v>
      </c>
      <c r="G75" s="6">
        <v>2127627</v>
      </c>
      <c r="H75" s="6">
        <v>2394804</v>
      </c>
      <c r="I75" s="6">
        <v>2364524</v>
      </c>
      <c r="J75" s="6">
        <v>2470759</v>
      </c>
      <c r="K75" s="6">
        <v>2767856</v>
      </c>
    </row>
    <row r="76" spans="1:11" x14ac:dyDescent="0.3">
      <c r="B76" s="3" t="s">
        <v>85</v>
      </c>
      <c r="C76" s="9">
        <v>1698196</v>
      </c>
      <c r="D76" s="9">
        <v>1799127</v>
      </c>
      <c r="E76" s="9">
        <v>1886781</v>
      </c>
      <c r="F76" s="9">
        <v>2127627</v>
      </c>
      <c r="G76" s="9">
        <v>2394804</v>
      </c>
      <c r="H76" s="9">
        <v>2364524</v>
      </c>
      <c r="I76" s="9">
        <v>2470759</v>
      </c>
      <c r="J76" s="9">
        <v>2767856</v>
      </c>
      <c r="K76" s="9">
        <v>3035637</v>
      </c>
    </row>
    <row r="79" spans="1:11" x14ac:dyDescent="0.3">
      <c r="A79" t="s">
        <v>90</v>
      </c>
      <c r="B79" s="3" t="s">
        <v>0</v>
      </c>
    </row>
    <row r="80" spans="1:11" x14ac:dyDescent="0.3">
      <c r="B80" s="4" t="s">
        <v>8</v>
      </c>
      <c r="C80" s="5">
        <f>C2</f>
        <v>45352</v>
      </c>
      <c r="D80" s="5">
        <f t="shared" ref="D80:K80" si="5">D2</f>
        <v>45473</v>
      </c>
      <c r="E80" s="5">
        <f t="shared" si="5"/>
        <v>45565</v>
      </c>
      <c r="F80" s="5">
        <f t="shared" si="5"/>
        <v>45657</v>
      </c>
      <c r="G80" s="5">
        <f t="shared" si="5"/>
        <v>45747</v>
      </c>
      <c r="H80" s="5">
        <f t="shared" si="5"/>
        <v>45838</v>
      </c>
      <c r="I80" s="5">
        <f t="shared" si="5"/>
        <v>45930</v>
      </c>
      <c r="J80" s="5">
        <f t="shared" si="5"/>
        <v>46022</v>
      </c>
      <c r="K80" s="5">
        <f t="shared" si="5"/>
        <v>46112</v>
      </c>
    </row>
    <row r="82" spans="2:11" x14ac:dyDescent="0.3">
      <c r="B82" t="s">
        <v>1</v>
      </c>
    </row>
    <row r="83" spans="2:11" x14ac:dyDescent="0.3">
      <c r="B83" s="1" t="s">
        <v>2</v>
      </c>
      <c r="C83" s="6">
        <v>1698196</v>
      </c>
      <c r="D83" s="6">
        <v>1799127</v>
      </c>
      <c r="E83" s="6">
        <v>1886781</v>
      </c>
      <c r="F83" s="6">
        <v>2127627</v>
      </c>
      <c r="G83" s="6">
        <v>2394804</v>
      </c>
      <c r="H83" s="6">
        <v>2364524</v>
      </c>
      <c r="I83" s="6">
        <v>2470759</v>
      </c>
      <c r="J83" s="6">
        <v>2767856</v>
      </c>
      <c r="K83" s="6">
        <v>3035637</v>
      </c>
    </row>
    <row r="84" spans="2:11" x14ac:dyDescent="0.3">
      <c r="B84" s="1" t="s">
        <v>3</v>
      </c>
      <c r="C84" s="6">
        <v>224460</v>
      </c>
      <c r="D84" s="6">
        <v>249508</v>
      </c>
      <c r="E84" s="6">
        <v>280819</v>
      </c>
      <c r="F84" s="6">
        <v>294392</v>
      </c>
      <c r="G84" s="6">
        <v>308281</v>
      </c>
      <c r="H84" s="6">
        <v>269905</v>
      </c>
      <c r="I84" s="6">
        <v>280297</v>
      </c>
      <c r="J84" s="6">
        <v>300738</v>
      </c>
      <c r="K84" s="6">
        <v>347964</v>
      </c>
    </row>
    <row r="85" spans="2:11" x14ac:dyDescent="0.3">
      <c r="B85" s="1" t="s">
        <v>4</v>
      </c>
      <c r="C85" s="6">
        <v>201980</v>
      </c>
      <c r="D85" s="6">
        <v>210210</v>
      </c>
      <c r="E85" s="6">
        <v>249974</v>
      </c>
      <c r="F85" s="6">
        <v>272088</v>
      </c>
      <c r="G85" s="6">
        <v>243949</v>
      </c>
      <c r="H85" s="6">
        <v>235685</v>
      </c>
      <c r="I85" s="6">
        <v>307814</v>
      </c>
      <c r="J85" s="6">
        <v>281791</v>
      </c>
      <c r="K85" s="6">
        <v>363005</v>
      </c>
    </row>
    <row r="86" spans="2:11" x14ac:dyDescent="0.3">
      <c r="B86" s="1" t="s">
        <v>5</v>
      </c>
      <c r="C86" s="6">
        <v>267123</v>
      </c>
      <c r="D86" s="6">
        <v>272491</v>
      </c>
      <c r="E86" s="6">
        <v>292884</v>
      </c>
      <c r="F86" s="6">
        <v>287869</v>
      </c>
      <c r="G86" s="6">
        <v>293388</v>
      </c>
      <c r="H86" s="6">
        <v>304194</v>
      </c>
      <c r="I86" s="6">
        <v>288689</v>
      </c>
      <c r="J86" s="6">
        <v>288110</v>
      </c>
      <c r="K86" s="6">
        <v>311454</v>
      </c>
    </row>
    <row r="87" spans="2:11" x14ac:dyDescent="0.3">
      <c r="B87" s="1" t="s">
        <v>6</v>
      </c>
      <c r="C87" s="6">
        <v>61008</v>
      </c>
      <c r="D87" s="6">
        <v>60332</v>
      </c>
      <c r="E87" s="6">
        <v>63456</v>
      </c>
      <c r="F87" s="6">
        <v>106376</v>
      </c>
      <c r="G87" s="6">
        <v>105242</v>
      </c>
      <c r="H87" s="6">
        <v>90610</v>
      </c>
      <c r="I87" s="6">
        <v>88456</v>
      </c>
      <c r="J87" s="6">
        <v>178636</v>
      </c>
      <c r="K87" s="6">
        <v>207452</v>
      </c>
    </row>
    <row r="88" spans="2:11" x14ac:dyDescent="0.3">
      <c r="B88" s="3" t="s">
        <v>7</v>
      </c>
      <c r="C88" s="9">
        <v>2452767</v>
      </c>
      <c r="D88" s="9">
        <v>2591658</v>
      </c>
      <c r="E88" s="9">
        <v>2773914</v>
      </c>
      <c r="F88" s="9">
        <v>3088352</v>
      </c>
      <c r="G88" s="9">
        <v>3345664</v>
      </c>
      <c r="H88" s="9">
        <v>3264918</v>
      </c>
      <c r="I88" s="9">
        <v>3436015</v>
      </c>
      <c r="J88" s="9">
        <v>3817131</v>
      </c>
      <c r="K88" s="9">
        <v>4265512</v>
      </c>
    </row>
    <row r="89" spans="2:11" x14ac:dyDescent="0.3">
      <c r="C89" s="6"/>
      <c r="D89" s="6"/>
      <c r="E89" s="6"/>
      <c r="F89" s="6"/>
      <c r="G89" s="6"/>
      <c r="H89" s="6"/>
      <c r="I89" s="6"/>
      <c r="J89" s="6"/>
      <c r="K89" s="6"/>
    </row>
    <row r="90" spans="2:11" x14ac:dyDescent="0.3">
      <c r="B90" t="s">
        <v>9</v>
      </c>
      <c r="C90" s="6"/>
      <c r="D90" s="6"/>
      <c r="E90" s="6"/>
      <c r="F90" s="6"/>
      <c r="G90" s="6"/>
      <c r="H90" s="6"/>
      <c r="I90" s="6"/>
      <c r="J90" s="6"/>
      <c r="K90" s="6"/>
    </row>
    <row r="91" spans="2:11" x14ac:dyDescent="0.3">
      <c r="B91" s="1" t="s">
        <v>10</v>
      </c>
      <c r="C91" s="6">
        <v>138469</v>
      </c>
      <c r="D91" s="6">
        <v>140220</v>
      </c>
      <c r="E91" s="6">
        <v>127332</v>
      </c>
      <c r="F91" s="6">
        <v>149040</v>
      </c>
      <c r="G91" s="6">
        <v>160793</v>
      </c>
      <c r="H91" s="6">
        <v>137427</v>
      </c>
      <c r="I91" s="6">
        <v>148978</v>
      </c>
      <c r="J91" s="6">
        <v>172370</v>
      </c>
      <c r="K91" s="6">
        <v>166567</v>
      </c>
    </row>
    <row r="92" spans="2:11" x14ac:dyDescent="0.3">
      <c r="B92" s="1" t="s">
        <v>11</v>
      </c>
      <c r="C92" s="6">
        <v>3051848</v>
      </c>
      <c r="D92" s="6">
        <v>3105860</v>
      </c>
      <c r="E92" s="6">
        <v>3071599</v>
      </c>
      <c r="F92" s="6">
        <v>3234980</v>
      </c>
      <c r="G92" s="6">
        <v>3400806</v>
      </c>
      <c r="H92" s="6">
        <v>3386206</v>
      </c>
      <c r="I92" s="6">
        <v>3499341</v>
      </c>
      <c r="J92" s="6">
        <v>3691841</v>
      </c>
      <c r="K92" s="6">
        <v>3954679</v>
      </c>
    </row>
    <row r="93" spans="2:11" x14ac:dyDescent="0.3">
      <c r="B93" s="1" t="s">
        <v>12</v>
      </c>
      <c r="C93" s="6">
        <v>144807</v>
      </c>
      <c r="D93" s="6">
        <v>144626</v>
      </c>
      <c r="E93" s="6">
        <v>192813</v>
      </c>
      <c r="F93" s="6">
        <v>219566</v>
      </c>
      <c r="G93" s="6">
        <v>226024</v>
      </c>
      <c r="H93" s="6">
        <v>217799</v>
      </c>
      <c r="I93" s="6">
        <v>269773</v>
      </c>
      <c r="J93" s="6">
        <v>251682</v>
      </c>
      <c r="K93" s="6">
        <v>274192</v>
      </c>
    </row>
    <row r="94" spans="2:11" x14ac:dyDescent="0.3">
      <c r="B94" s="3" t="s">
        <v>13</v>
      </c>
      <c r="C94" s="9">
        <v>3335124</v>
      </c>
      <c r="D94" s="9">
        <v>3390706</v>
      </c>
      <c r="E94" s="9">
        <v>3391744</v>
      </c>
      <c r="F94" s="9">
        <v>3603586</v>
      </c>
      <c r="G94" s="9">
        <v>3787623</v>
      </c>
      <c r="H94" s="9">
        <v>3741432</v>
      </c>
      <c r="I94" s="9">
        <v>3918092</v>
      </c>
      <c r="J94" s="9">
        <v>4115893</v>
      </c>
      <c r="K94" s="9">
        <v>4395438</v>
      </c>
    </row>
    <row r="95" spans="2:11" x14ac:dyDescent="0.3">
      <c r="C95" s="6"/>
      <c r="D95" s="6"/>
      <c r="E95" s="6"/>
      <c r="F95" s="6"/>
      <c r="G95" s="6"/>
      <c r="H95" s="6"/>
      <c r="I95" s="6"/>
      <c r="J95" s="6"/>
      <c r="K95" s="6"/>
    </row>
    <row r="96" spans="2:11" x14ac:dyDescent="0.3">
      <c r="B96" s="3" t="s">
        <v>14</v>
      </c>
      <c r="C96" s="7">
        <v>5787891</v>
      </c>
      <c r="D96" s="7">
        <v>5982364</v>
      </c>
      <c r="E96" s="7">
        <v>6165658</v>
      </c>
      <c r="F96" s="7">
        <v>6691938</v>
      </c>
      <c r="G96" s="7">
        <v>7133287</v>
      </c>
      <c r="H96" s="7">
        <v>7006350</v>
      </c>
      <c r="I96" s="7">
        <v>7354107</v>
      </c>
      <c r="J96" s="7">
        <v>7933024</v>
      </c>
      <c r="K96" s="7">
        <v>8660950</v>
      </c>
    </row>
    <row r="97" spans="2:11" x14ac:dyDescent="0.3">
      <c r="C97" s="6"/>
      <c r="D97" s="6"/>
      <c r="E97" s="6"/>
      <c r="F97" s="6"/>
      <c r="G97" s="6"/>
      <c r="H97" s="6"/>
      <c r="I97" s="6"/>
      <c r="J97" s="6"/>
      <c r="K97" s="6"/>
    </row>
    <row r="98" spans="2:11" x14ac:dyDescent="0.3">
      <c r="C98" s="6"/>
      <c r="D98" s="6"/>
      <c r="E98" s="6"/>
      <c r="F98" s="6"/>
      <c r="G98" s="6"/>
      <c r="H98" s="6"/>
      <c r="I98" s="6"/>
      <c r="J98" s="6"/>
      <c r="K98" s="6"/>
    </row>
    <row r="99" spans="2:11" x14ac:dyDescent="0.3">
      <c r="B99" t="s">
        <v>15</v>
      </c>
      <c r="D99" s="6"/>
      <c r="E99" s="6"/>
      <c r="F99" s="6"/>
      <c r="G99" s="6"/>
      <c r="H99" s="6"/>
      <c r="I99" s="6"/>
      <c r="J99" s="6"/>
      <c r="K99" s="6"/>
    </row>
    <row r="100" spans="2:11" x14ac:dyDescent="0.3">
      <c r="B100" s="1" t="s">
        <v>16</v>
      </c>
      <c r="C100" s="6">
        <v>57610</v>
      </c>
      <c r="D100" s="6">
        <v>63947</v>
      </c>
      <c r="E100" s="6">
        <v>70820</v>
      </c>
      <c r="F100" s="6">
        <v>74227</v>
      </c>
      <c r="G100" s="6">
        <v>76854</v>
      </c>
      <c r="H100" s="6">
        <v>84772</v>
      </c>
      <c r="I100" s="6">
        <v>86386</v>
      </c>
      <c r="J100" s="6">
        <v>84330</v>
      </c>
      <c r="K100" s="6">
        <v>99856</v>
      </c>
    </row>
    <row r="101" spans="2:11" x14ac:dyDescent="0.3">
      <c r="B101" s="1" t="s">
        <v>17</v>
      </c>
      <c r="C101" s="6">
        <v>127179</v>
      </c>
      <c r="D101" s="6">
        <v>136744</v>
      </c>
      <c r="E101" s="6">
        <v>125132</v>
      </c>
      <c r="F101" s="6">
        <v>192635</v>
      </c>
      <c r="G101" s="6">
        <v>199087</v>
      </c>
      <c r="H101" s="6">
        <v>161416</v>
      </c>
      <c r="I101" s="6">
        <v>175430</v>
      </c>
      <c r="J101" s="6">
        <v>177730</v>
      </c>
      <c r="K101" s="6">
        <v>243927</v>
      </c>
    </row>
    <row r="102" spans="2:11" x14ac:dyDescent="0.3">
      <c r="B102" s="1" t="s">
        <v>18</v>
      </c>
      <c r="C102" s="6">
        <v>181525</v>
      </c>
      <c r="D102" s="6">
        <v>194600</v>
      </c>
      <c r="E102" s="6">
        <v>207456</v>
      </c>
      <c r="F102" s="6">
        <v>220419</v>
      </c>
      <c r="G102" s="6">
        <v>233394</v>
      </c>
      <c r="H102" s="6">
        <v>246672</v>
      </c>
      <c r="I102" s="6">
        <v>259326</v>
      </c>
      <c r="J102" s="6">
        <v>285258</v>
      </c>
      <c r="K102" s="6">
        <v>311190</v>
      </c>
    </row>
    <row r="103" spans="2:11" x14ac:dyDescent="0.3">
      <c r="B103" s="1" t="s">
        <v>19</v>
      </c>
      <c r="C103" s="6">
        <v>647366</v>
      </c>
      <c r="D103" s="6">
        <v>630549</v>
      </c>
      <c r="E103" s="6">
        <v>618186</v>
      </c>
      <c r="F103" s="6">
        <v>717386</v>
      </c>
      <c r="G103" s="6">
        <v>828696</v>
      </c>
      <c r="H103" s="6">
        <v>790240</v>
      </c>
      <c r="I103" s="6">
        <v>678538</v>
      </c>
      <c r="J103" s="6">
        <v>773775</v>
      </c>
      <c r="K103" s="6">
        <v>903039</v>
      </c>
    </row>
    <row r="104" spans="2:11" x14ac:dyDescent="0.3">
      <c r="B104" s="1" t="s">
        <v>20</v>
      </c>
      <c r="C104" s="6">
        <v>12500</v>
      </c>
      <c r="D104" s="6">
        <v>23076</v>
      </c>
      <c r="E104" s="6">
        <v>58805</v>
      </c>
      <c r="F104" s="6">
        <v>59858</v>
      </c>
      <c r="G104" s="6">
        <v>61772</v>
      </c>
      <c r="H104" s="6">
        <v>94214</v>
      </c>
      <c r="I104" s="6">
        <v>76226</v>
      </c>
      <c r="J104" s="6">
        <v>136926</v>
      </c>
      <c r="K104" s="6">
        <v>156242</v>
      </c>
    </row>
    <row r="105" spans="2:11" x14ac:dyDescent="0.3">
      <c r="B105" s="3" t="s">
        <v>25</v>
      </c>
      <c r="C105" s="9">
        <v>1026180</v>
      </c>
      <c r="D105" s="9">
        <v>1048916</v>
      </c>
      <c r="E105" s="9">
        <v>1080399</v>
      </c>
      <c r="F105" s="9">
        <v>1264525</v>
      </c>
      <c r="G105" s="9">
        <v>1399803</v>
      </c>
      <c r="H105" s="9">
        <v>1377314</v>
      </c>
      <c r="I105" s="9">
        <v>1275906</v>
      </c>
      <c r="J105" s="9">
        <v>1458019</v>
      </c>
      <c r="K105" s="9">
        <v>1714254</v>
      </c>
    </row>
    <row r="106" spans="2:11" x14ac:dyDescent="0.3">
      <c r="C106" s="6"/>
      <c r="D106" s="6"/>
      <c r="E106" s="6"/>
      <c r="F106" s="6"/>
      <c r="G106" s="6"/>
      <c r="H106" s="6"/>
      <c r="I106" s="6"/>
      <c r="J106" s="6"/>
      <c r="K106" s="6"/>
    </row>
    <row r="107" spans="2:11" x14ac:dyDescent="0.3">
      <c r="B107" t="s">
        <v>21</v>
      </c>
      <c r="C107" s="6"/>
      <c r="D107" s="6"/>
      <c r="E107" s="6"/>
      <c r="F107" s="6"/>
      <c r="G107" s="6"/>
      <c r="H107" s="6"/>
      <c r="I107" s="6"/>
      <c r="J107" s="6"/>
      <c r="K107" s="6"/>
    </row>
    <row r="108" spans="2:11" x14ac:dyDescent="0.3">
      <c r="B108" s="1" t="s">
        <v>22</v>
      </c>
      <c r="C108" s="6">
        <v>955540</v>
      </c>
      <c r="D108" s="6">
        <v>965314</v>
      </c>
      <c r="E108" s="6">
        <v>909704</v>
      </c>
      <c r="F108" s="6">
        <v>926604</v>
      </c>
      <c r="G108" s="6">
        <v>948257</v>
      </c>
      <c r="H108" s="6">
        <v>848535</v>
      </c>
      <c r="I108" s="6">
        <v>880433</v>
      </c>
      <c r="J108" s="6">
        <v>856228</v>
      </c>
      <c r="K108" s="6">
        <v>860026</v>
      </c>
    </row>
    <row r="109" spans="2:11" x14ac:dyDescent="0.3">
      <c r="B109" s="1" t="s">
        <v>23</v>
      </c>
      <c r="C109" s="6">
        <v>140455</v>
      </c>
      <c r="D109" s="6">
        <v>147986</v>
      </c>
      <c r="E109" s="6">
        <v>153633</v>
      </c>
      <c r="F109" s="6">
        <v>177233</v>
      </c>
      <c r="G109" s="6">
        <v>183603</v>
      </c>
      <c r="H109" s="6">
        <v>163869</v>
      </c>
      <c r="I109" s="6">
        <v>162190</v>
      </c>
      <c r="J109" s="6">
        <v>157982</v>
      </c>
      <c r="K109" s="6">
        <v>154281</v>
      </c>
    </row>
    <row r="110" spans="2:11" x14ac:dyDescent="0.3">
      <c r="B110" s="3" t="s">
        <v>24</v>
      </c>
      <c r="C110" s="9">
        <v>1095995</v>
      </c>
      <c r="D110" s="9">
        <v>1113300</v>
      </c>
      <c r="E110" s="9">
        <v>1063337</v>
      </c>
      <c r="F110" s="9">
        <v>1103837</v>
      </c>
      <c r="G110" s="9">
        <v>1131860</v>
      </c>
      <c r="H110" s="9">
        <v>1012404</v>
      </c>
      <c r="I110" s="9">
        <v>1042623</v>
      </c>
      <c r="J110" s="9">
        <v>1014210</v>
      </c>
      <c r="K110" s="9">
        <v>1014307</v>
      </c>
    </row>
    <row r="111" spans="2:11" x14ac:dyDescent="0.3">
      <c r="C111" s="6"/>
      <c r="D111" s="6"/>
      <c r="E111" s="6"/>
      <c r="F111" s="6"/>
      <c r="G111" s="6"/>
      <c r="H111" s="6"/>
      <c r="I111" s="6"/>
      <c r="J111" s="6"/>
      <c r="K111" s="6"/>
    </row>
    <row r="112" spans="2:11" x14ac:dyDescent="0.3">
      <c r="B112" s="3" t="s">
        <v>26</v>
      </c>
      <c r="C112" s="7">
        <v>2122175</v>
      </c>
      <c r="D112" s="7">
        <v>2162216</v>
      </c>
      <c r="E112" s="7">
        <v>2143736</v>
      </c>
      <c r="F112" s="7">
        <v>2368362</v>
      </c>
      <c r="G112" s="7">
        <v>2531663</v>
      </c>
      <c r="H112" s="7">
        <v>2389718</v>
      </c>
      <c r="I112" s="7">
        <v>2318529</v>
      </c>
      <c r="J112" s="7">
        <v>2472229</v>
      </c>
      <c r="K112" s="7">
        <v>2728561</v>
      </c>
    </row>
    <row r="113" spans="2:11" x14ac:dyDescent="0.3">
      <c r="C113" s="6"/>
      <c r="D113" s="6"/>
      <c r="E113" s="6"/>
      <c r="F113" s="6"/>
      <c r="G113" s="6"/>
      <c r="H113" s="6"/>
      <c r="I113" s="6"/>
      <c r="J113" s="6"/>
      <c r="K113" s="6"/>
    </row>
    <row r="114" spans="2:11" x14ac:dyDescent="0.3">
      <c r="B114" t="s">
        <v>27</v>
      </c>
      <c r="C114" s="6"/>
      <c r="D114" s="6"/>
      <c r="E114" s="6"/>
      <c r="F114" s="6"/>
      <c r="G114" s="6"/>
      <c r="H114" s="6"/>
      <c r="I114" s="6"/>
      <c r="J114" s="6"/>
      <c r="K114" s="6"/>
    </row>
    <row r="115" spans="2:11" x14ac:dyDescent="0.3">
      <c r="B115" t="s">
        <v>28</v>
      </c>
      <c r="C115" s="6">
        <v>259336</v>
      </c>
      <c r="D115" s="6">
        <v>259336</v>
      </c>
      <c r="E115" s="6">
        <v>259327</v>
      </c>
      <c r="F115" s="6">
        <v>259327</v>
      </c>
      <c r="G115" s="6">
        <v>259326</v>
      </c>
      <c r="H115" s="6">
        <v>259326</v>
      </c>
      <c r="I115" s="6">
        <v>259325</v>
      </c>
      <c r="J115" s="6">
        <v>259325</v>
      </c>
      <c r="K115" s="6">
        <v>259324</v>
      </c>
    </row>
    <row r="116" spans="2:11" x14ac:dyDescent="0.3">
      <c r="B116" t="s">
        <v>29</v>
      </c>
      <c r="C116" s="6">
        <v>70941</v>
      </c>
      <c r="D116" s="6">
        <v>70941</v>
      </c>
      <c r="E116" s="6">
        <v>72390</v>
      </c>
      <c r="F116" s="6">
        <v>73261</v>
      </c>
      <c r="G116" s="6">
        <v>73307</v>
      </c>
      <c r="H116" s="6">
        <v>73326</v>
      </c>
      <c r="I116" s="6">
        <v>73361</v>
      </c>
      <c r="J116" s="6">
        <v>73446</v>
      </c>
      <c r="K116" s="6">
        <v>73666</v>
      </c>
    </row>
    <row r="117" spans="2:11" x14ac:dyDescent="0.3">
      <c r="B117" t="s">
        <v>30</v>
      </c>
      <c r="C117" s="6">
        <v>311147</v>
      </c>
      <c r="D117" s="6">
        <v>311147</v>
      </c>
      <c r="E117" s="6">
        <v>311147</v>
      </c>
      <c r="F117" s="6">
        <v>311147</v>
      </c>
      <c r="G117" s="6">
        <v>311147</v>
      </c>
      <c r="H117" s="6">
        <v>311147</v>
      </c>
      <c r="I117" s="6">
        <v>311147</v>
      </c>
      <c r="J117" s="6">
        <v>311147</v>
      </c>
      <c r="K117" s="6">
        <v>311147</v>
      </c>
    </row>
    <row r="118" spans="2:11" x14ac:dyDescent="0.3">
      <c r="B118" t="s">
        <v>31</v>
      </c>
      <c r="C118" s="6">
        <v>28021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181555</v>
      </c>
      <c r="J118" s="6">
        <v>87284</v>
      </c>
      <c r="K118" s="6">
        <v>16199</v>
      </c>
    </row>
    <row r="119" spans="2:11" x14ac:dyDescent="0.3">
      <c r="B119" t="s">
        <v>86</v>
      </c>
      <c r="C119" s="6">
        <v>2955396</v>
      </c>
      <c r="D119" s="6">
        <v>3127528</v>
      </c>
      <c r="E119" s="6">
        <v>3346232</v>
      </c>
      <c r="F119" s="6">
        <v>3606105</v>
      </c>
      <c r="G119" s="6">
        <v>3851130</v>
      </c>
      <c r="H119" s="6">
        <v>4119741</v>
      </c>
      <c r="I119" s="6">
        <v>4260829</v>
      </c>
      <c r="J119" s="6">
        <v>4705070</v>
      </c>
      <c r="K119" s="6">
        <v>5193142</v>
      </c>
    </row>
    <row r="120" spans="2:11" x14ac:dyDescent="0.3">
      <c r="B120" t="s">
        <v>93</v>
      </c>
      <c r="C120" s="6">
        <v>0</v>
      </c>
      <c r="D120" s="6">
        <v>-3089</v>
      </c>
      <c r="E120" s="6">
        <v>0</v>
      </c>
      <c r="F120" s="6">
        <v>0</v>
      </c>
      <c r="G120" s="6"/>
      <c r="H120" s="6"/>
      <c r="I120" s="6"/>
      <c r="J120" s="6"/>
      <c r="K120" s="6"/>
    </row>
    <row r="121" spans="2:11" x14ac:dyDescent="0.3">
      <c r="B121" t="s">
        <v>32</v>
      </c>
      <c r="C121" s="6">
        <v>10891</v>
      </c>
      <c r="D121" s="6">
        <v>25540</v>
      </c>
      <c r="E121" s="6">
        <v>923</v>
      </c>
      <c r="F121" s="6">
        <v>38705</v>
      </c>
      <c r="G121" s="6">
        <v>69252</v>
      </c>
      <c r="H121" s="6">
        <v>-182466</v>
      </c>
      <c r="I121" s="6">
        <v>-87910</v>
      </c>
      <c r="J121" s="6">
        <v>-16676</v>
      </c>
      <c r="K121" s="6">
        <v>37482</v>
      </c>
    </row>
    <row r="122" spans="2:11" x14ac:dyDescent="0.3">
      <c r="B122" t="s">
        <v>27</v>
      </c>
      <c r="C122" s="10">
        <v>3635732</v>
      </c>
      <c r="D122" s="10">
        <v>3791403</v>
      </c>
      <c r="E122" s="10">
        <v>3990019</v>
      </c>
      <c r="F122" s="10">
        <v>4288545</v>
      </c>
      <c r="G122" s="10">
        <v>4564162</v>
      </c>
      <c r="H122" s="10">
        <v>4581074</v>
      </c>
      <c r="I122" s="10">
        <v>4998307</v>
      </c>
      <c r="J122" s="10">
        <v>5419596</v>
      </c>
      <c r="K122" s="10">
        <v>5890960</v>
      </c>
    </row>
    <row r="123" spans="2:11" x14ac:dyDescent="0.3">
      <c r="B123" t="s">
        <v>33</v>
      </c>
      <c r="C123" s="6">
        <v>29984</v>
      </c>
      <c r="D123" s="6">
        <v>28745</v>
      </c>
      <c r="E123" s="6">
        <v>31903</v>
      </c>
      <c r="F123" s="6">
        <v>35031</v>
      </c>
      <c r="G123" s="6">
        <v>37462</v>
      </c>
      <c r="H123" s="6">
        <v>35558</v>
      </c>
      <c r="I123" s="6">
        <v>37271</v>
      </c>
      <c r="J123" s="6">
        <v>41199</v>
      </c>
      <c r="K123" s="6">
        <v>41429</v>
      </c>
    </row>
    <row r="124" spans="2:11" x14ac:dyDescent="0.3">
      <c r="B124" s="3" t="s">
        <v>34</v>
      </c>
      <c r="C124" s="9">
        <v>3665716</v>
      </c>
      <c r="D124" s="9">
        <v>3820148</v>
      </c>
      <c r="E124" s="9">
        <v>4021922</v>
      </c>
      <c r="F124" s="9">
        <v>4323576</v>
      </c>
      <c r="G124" s="9">
        <v>4601624</v>
      </c>
      <c r="H124" s="9">
        <v>4616632</v>
      </c>
      <c r="I124" s="9">
        <v>5035578</v>
      </c>
      <c r="J124" s="9">
        <v>5460795</v>
      </c>
      <c r="K124" s="9">
        <v>5932389</v>
      </c>
    </row>
    <row r="125" spans="2:11" x14ac:dyDescent="0.3">
      <c r="C125" s="6"/>
      <c r="D125" s="6"/>
      <c r="E125" s="6"/>
      <c r="F125" s="6"/>
      <c r="G125" s="6"/>
      <c r="H125" s="6"/>
      <c r="I125" s="6"/>
      <c r="J125" s="6"/>
      <c r="K125" s="6"/>
    </row>
    <row r="126" spans="2:11" x14ac:dyDescent="0.3">
      <c r="B126" s="3" t="s">
        <v>35</v>
      </c>
      <c r="C126" s="7">
        <v>5787891</v>
      </c>
      <c r="D126" s="7">
        <v>5982364</v>
      </c>
      <c r="E126" s="7">
        <v>6165658</v>
      </c>
      <c r="F126" s="7">
        <v>6691938</v>
      </c>
      <c r="G126" s="7">
        <v>7133287</v>
      </c>
      <c r="H126" s="7">
        <v>7006350</v>
      </c>
      <c r="I126" s="7">
        <v>7354107</v>
      </c>
      <c r="J126" s="7">
        <v>7933024</v>
      </c>
      <c r="K126" s="7">
        <v>8660950</v>
      </c>
    </row>
    <row r="127" spans="2:11" x14ac:dyDescent="0.3">
      <c r="C127" s="6"/>
      <c r="D127" s="6"/>
      <c r="E127" s="6"/>
      <c r="F127" s="6"/>
      <c r="G127" s="6"/>
      <c r="H127" s="6"/>
      <c r="I127" s="6"/>
      <c r="J127" s="6"/>
      <c r="K127" s="6"/>
    </row>
    <row r="128" spans="2:11" x14ac:dyDescent="0.3">
      <c r="B128" t="s">
        <v>36</v>
      </c>
      <c r="C128" s="6">
        <f t="shared" ref="C128:F128" si="6">C96-C126</f>
        <v>0</v>
      </c>
      <c r="D128" s="6">
        <f t="shared" si="6"/>
        <v>0</v>
      </c>
      <c r="E128" s="6">
        <f t="shared" si="6"/>
        <v>0</v>
      </c>
      <c r="F128" s="6">
        <f t="shared" si="6"/>
        <v>0</v>
      </c>
      <c r="G128" s="6">
        <f>G96-G126</f>
        <v>0</v>
      </c>
      <c r="H128" s="6">
        <f>H96-H126</f>
        <v>0</v>
      </c>
      <c r="I128" s="6">
        <f>I96-I126</f>
        <v>0</v>
      </c>
      <c r="J128" s="6">
        <f>J96-J126</f>
        <v>0</v>
      </c>
      <c r="K128" s="6">
        <f>K96-K126</f>
        <v>0</v>
      </c>
    </row>
    <row r="131" spans="1:11" x14ac:dyDescent="0.3">
      <c r="A131" t="s">
        <v>90</v>
      </c>
      <c r="B131" s="3" t="s">
        <v>506</v>
      </c>
    </row>
    <row r="132" spans="1:11" x14ac:dyDescent="0.3">
      <c r="B132" s="4" t="s">
        <v>8</v>
      </c>
    </row>
    <row r="133" spans="1:11" x14ac:dyDescent="0.3">
      <c r="B133" s="4"/>
    </row>
    <row r="134" spans="1:11" x14ac:dyDescent="0.3">
      <c r="B134" s="62" t="s">
        <v>193</v>
      </c>
    </row>
    <row r="135" spans="1:11" x14ac:dyDescent="0.3">
      <c r="B135" s="63" t="s">
        <v>115</v>
      </c>
      <c r="C135" s="6">
        <f>C15</f>
        <v>249018</v>
      </c>
      <c r="D135" s="6">
        <f t="shared" ref="D135:K135" si="7">D15</f>
        <v>286556</v>
      </c>
      <c r="E135" s="6">
        <f t="shared" si="7"/>
        <v>360766</v>
      </c>
      <c r="F135" s="6">
        <f t="shared" si="7"/>
        <v>425713</v>
      </c>
      <c r="G135" s="6">
        <f t="shared" si="7"/>
        <v>407081</v>
      </c>
      <c r="H135" s="6">
        <f t="shared" si="7"/>
        <v>463423</v>
      </c>
      <c r="I135" s="6">
        <f t="shared" si="7"/>
        <v>500685</v>
      </c>
      <c r="J135" s="6">
        <f t="shared" si="7"/>
        <v>564903</v>
      </c>
      <c r="K135" s="6">
        <f t="shared" si="7"/>
        <v>658966</v>
      </c>
    </row>
    <row r="136" spans="1:11" x14ac:dyDescent="0.3">
      <c r="B136" s="63" t="s">
        <v>122</v>
      </c>
      <c r="C136" s="65">
        <f>IFERROR(-C25/C23,0)</f>
        <v>0.15502939488187648</v>
      </c>
      <c r="D136" s="65">
        <f t="shared" ref="D136:K136" si="8">IFERROR(-D25/D23,0)</f>
        <v>0.19146880131630925</v>
      </c>
      <c r="E136" s="65">
        <f t="shared" si="8"/>
        <v>0.15384955763729641</v>
      </c>
      <c r="F136" s="65">
        <f t="shared" si="8"/>
        <v>0.16561793947388356</v>
      </c>
      <c r="G136" s="65">
        <f t="shared" si="8"/>
        <v>0.16282853131273281</v>
      </c>
      <c r="H136" s="65">
        <f t="shared" si="8"/>
        <v>0.19378503800939484</v>
      </c>
      <c r="I136" s="65">
        <f t="shared" si="8"/>
        <v>0.14011865945649629</v>
      </c>
      <c r="J136" s="65">
        <f t="shared" si="8"/>
        <v>0.14677993054934221</v>
      </c>
      <c r="K136" s="65">
        <f t="shared" si="8"/>
        <v>0.16719831346321606</v>
      </c>
    </row>
    <row r="137" spans="1:11" x14ac:dyDescent="0.3">
      <c r="B137" s="66" t="s">
        <v>107</v>
      </c>
      <c r="C137" s="69">
        <f>C135*(1-C136)</f>
        <v>210412.89014530487</v>
      </c>
      <c r="D137" s="69">
        <f t="shared" ref="D137:K137" si="9">D135*(1-D136)</f>
        <v>231689.46617000367</v>
      </c>
      <c r="E137" s="69">
        <f t="shared" si="9"/>
        <v>305262.31048942311</v>
      </c>
      <c r="F137" s="69">
        <f t="shared" si="9"/>
        <v>355207.2901327546</v>
      </c>
      <c r="G137" s="69">
        <f t="shared" si="9"/>
        <v>340796.59864468145</v>
      </c>
      <c r="H137" s="69">
        <f t="shared" si="9"/>
        <v>373618.55633057223</v>
      </c>
      <c r="I137" s="69">
        <f t="shared" si="9"/>
        <v>430529.68899002415</v>
      </c>
      <c r="J137" s="69">
        <f t="shared" si="9"/>
        <v>481986.57689288491</v>
      </c>
      <c r="K137" s="69">
        <f t="shared" si="9"/>
        <v>548787.99617039843</v>
      </c>
    </row>
    <row r="138" spans="1:11" x14ac:dyDescent="0.3">
      <c r="B138" s="64"/>
    </row>
    <row r="139" spans="1:11" x14ac:dyDescent="0.3">
      <c r="B139" s="62" t="s">
        <v>108</v>
      </c>
    </row>
    <row r="140" spans="1:11" x14ac:dyDescent="0.3">
      <c r="B140" s="63" t="s">
        <v>186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spans="1:11" x14ac:dyDescent="0.3">
      <c r="B141" s="63" t="s">
        <v>187</v>
      </c>
      <c r="C141" s="6">
        <f t="shared" ref="C141:K141" si="10">C108+C104+C169</f>
        <v>978060.13199999998</v>
      </c>
      <c r="D141" s="6">
        <f t="shared" si="10"/>
        <v>997419.76500000001</v>
      </c>
      <c r="E141" s="6">
        <f t="shared" si="10"/>
        <v>994968.67700000003</v>
      </c>
      <c r="F141" s="6">
        <f t="shared" si="10"/>
        <v>1018286.3859999999</v>
      </c>
      <c r="G141" s="6">
        <f t="shared" si="10"/>
        <v>1048755.925</v>
      </c>
      <c r="H141" s="6">
        <f t="shared" si="10"/>
        <v>977885</v>
      </c>
      <c r="I141" s="6">
        <f t="shared" si="10"/>
        <v>994454.50100000005</v>
      </c>
      <c r="J141" s="6">
        <f t="shared" si="10"/>
        <v>1032988.496</v>
      </c>
      <c r="K141" s="6">
        <f>K108+K104+K169</f>
        <v>1057259.672</v>
      </c>
    </row>
    <row r="142" spans="1:11" x14ac:dyDescent="0.3">
      <c r="B142" s="63" t="s">
        <v>125</v>
      </c>
      <c r="C142" s="67">
        <f>SUM(C140:C141)</f>
        <v>978060.13199999998</v>
      </c>
      <c r="D142" s="67">
        <f t="shared" ref="D142:K142" si="11">SUM(D140:D141)</f>
        <v>997419.76500000001</v>
      </c>
      <c r="E142" s="67">
        <f t="shared" si="11"/>
        <v>994968.67700000003</v>
      </c>
      <c r="F142" s="67">
        <f t="shared" si="11"/>
        <v>1018286.3859999999</v>
      </c>
      <c r="G142" s="67">
        <f t="shared" si="11"/>
        <v>1048755.925</v>
      </c>
      <c r="H142" s="67">
        <f t="shared" si="11"/>
        <v>977885</v>
      </c>
      <c r="I142" s="67">
        <f t="shared" si="11"/>
        <v>994454.50100000005</v>
      </c>
      <c r="J142" s="67">
        <f t="shared" si="11"/>
        <v>1032988.496</v>
      </c>
      <c r="K142" s="67">
        <f>SUM(K140:K141)</f>
        <v>1057259.672</v>
      </c>
    </row>
    <row r="143" spans="1:11" x14ac:dyDescent="0.3">
      <c r="B143" s="63" t="s">
        <v>131</v>
      </c>
      <c r="C143" s="6">
        <f>C83*-1</f>
        <v>-1698196</v>
      </c>
      <c r="D143" s="6">
        <f t="shared" ref="D143:K143" si="12">D83*-1</f>
        <v>-1799127</v>
      </c>
      <c r="E143" s="6">
        <f t="shared" si="12"/>
        <v>-1886781</v>
      </c>
      <c r="F143" s="6">
        <f t="shared" si="12"/>
        <v>-2127627</v>
      </c>
      <c r="G143" s="6">
        <f t="shared" si="12"/>
        <v>-2394804</v>
      </c>
      <c r="H143" s="6">
        <f t="shared" si="12"/>
        <v>-2364524</v>
      </c>
      <c r="I143" s="6">
        <f t="shared" si="12"/>
        <v>-2470759</v>
      </c>
      <c r="J143" s="6">
        <f t="shared" si="12"/>
        <v>-2767856</v>
      </c>
      <c r="K143" s="6">
        <f t="shared" si="12"/>
        <v>-3035637</v>
      </c>
    </row>
    <row r="144" spans="1:11" x14ac:dyDescent="0.3">
      <c r="B144" s="63" t="s">
        <v>188</v>
      </c>
      <c r="C144" s="67">
        <f>SUM(C142:C143)</f>
        <v>-720135.86800000002</v>
      </c>
      <c r="D144" s="67">
        <f t="shared" ref="D144:K144" si="13">SUM(D142:D143)</f>
        <v>-801707.23499999999</v>
      </c>
      <c r="E144" s="67">
        <f t="shared" si="13"/>
        <v>-891812.32299999997</v>
      </c>
      <c r="F144" s="67">
        <f t="shared" si="13"/>
        <v>-1109340.6140000001</v>
      </c>
      <c r="G144" s="67">
        <f t="shared" si="13"/>
        <v>-1346048.075</v>
      </c>
      <c r="H144" s="67">
        <f t="shared" si="13"/>
        <v>-1386639</v>
      </c>
      <c r="I144" s="67">
        <f t="shared" si="13"/>
        <v>-1476304.4989999998</v>
      </c>
      <c r="J144" s="67">
        <f t="shared" si="13"/>
        <v>-1734867.504</v>
      </c>
      <c r="K144" s="67">
        <f t="shared" si="13"/>
        <v>-1978377.328</v>
      </c>
    </row>
    <row r="145" spans="2:11" x14ac:dyDescent="0.3">
      <c r="B145" s="63" t="s">
        <v>99</v>
      </c>
      <c r="C145" s="6">
        <f>C124</f>
        <v>3665716</v>
      </c>
      <c r="D145" s="6">
        <f t="shared" ref="D145:K145" si="14">D124</f>
        <v>3820148</v>
      </c>
      <c r="E145" s="6">
        <f t="shared" si="14"/>
        <v>4021922</v>
      </c>
      <c r="F145" s="6">
        <f t="shared" si="14"/>
        <v>4323576</v>
      </c>
      <c r="G145" s="6">
        <f t="shared" si="14"/>
        <v>4601624</v>
      </c>
      <c r="H145" s="6">
        <f t="shared" si="14"/>
        <v>4616632</v>
      </c>
      <c r="I145" s="6">
        <f t="shared" si="14"/>
        <v>5035578</v>
      </c>
      <c r="J145" s="6">
        <f t="shared" si="14"/>
        <v>5460795</v>
      </c>
      <c r="K145" s="6">
        <f t="shared" si="14"/>
        <v>5932389</v>
      </c>
    </row>
    <row r="146" spans="2:11" x14ac:dyDescent="0.3">
      <c r="B146" s="66" t="s">
        <v>189</v>
      </c>
      <c r="C146" s="69">
        <f>SUM(C144:C145)</f>
        <v>2945580.1320000002</v>
      </c>
      <c r="D146" s="69">
        <f t="shared" ref="D146:K146" si="15">SUM(D144:D145)</f>
        <v>3018440.7650000001</v>
      </c>
      <c r="E146" s="69">
        <f t="shared" si="15"/>
        <v>3130109.6770000001</v>
      </c>
      <c r="F146" s="69">
        <f t="shared" si="15"/>
        <v>3214235.3859999999</v>
      </c>
      <c r="G146" s="69">
        <f t="shared" si="15"/>
        <v>3255575.9249999998</v>
      </c>
      <c r="H146" s="69">
        <f t="shared" si="15"/>
        <v>3229993</v>
      </c>
      <c r="I146" s="69">
        <f t="shared" si="15"/>
        <v>3559273.5010000002</v>
      </c>
      <c r="J146" s="69">
        <f t="shared" si="15"/>
        <v>3725927.4960000003</v>
      </c>
      <c r="K146" s="69">
        <f t="shared" si="15"/>
        <v>3954011.6720000003</v>
      </c>
    </row>
    <row r="147" spans="2:11" x14ac:dyDescent="0.3">
      <c r="B147" s="63"/>
    </row>
    <row r="148" spans="2:11" x14ac:dyDescent="0.3">
      <c r="B148" s="62" t="s">
        <v>192</v>
      </c>
    </row>
    <row r="149" spans="2:11" x14ac:dyDescent="0.3">
      <c r="B149" s="63" t="s">
        <v>1</v>
      </c>
      <c r="C149" s="6">
        <f>C88</f>
        <v>2452767</v>
      </c>
      <c r="D149" s="6">
        <f t="shared" ref="D149:K149" si="16">D88</f>
        <v>2591658</v>
      </c>
      <c r="E149" s="6">
        <f t="shared" si="16"/>
        <v>2773914</v>
      </c>
      <c r="F149" s="6">
        <f t="shared" si="16"/>
        <v>3088352</v>
      </c>
      <c r="G149" s="6">
        <f t="shared" si="16"/>
        <v>3345664</v>
      </c>
      <c r="H149" s="6">
        <f t="shared" si="16"/>
        <v>3264918</v>
      </c>
      <c r="I149" s="6">
        <f t="shared" si="16"/>
        <v>3436015</v>
      </c>
      <c r="J149" s="6">
        <f t="shared" si="16"/>
        <v>3817131</v>
      </c>
      <c r="K149" s="6">
        <f t="shared" si="16"/>
        <v>4265512</v>
      </c>
    </row>
    <row r="150" spans="2:11" x14ac:dyDescent="0.3">
      <c r="B150" s="63" t="s">
        <v>131</v>
      </c>
      <c r="C150" s="6">
        <f>C143</f>
        <v>-1698196</v>
      </c>
      <c r="D150" s="6">
        <f t="shared" ref="D150:K150" si="17">D143</f>
        <v>-1799127</v>
      </c>
      <c r="E150" s="6">
        <f t="shared" si="17"/>
        <v>-1886781</v>
      </c>
      <c r="F150" s="6">
        <f t="shared" si="17"/>
        <v>-2127627</v>
      </c>
      <c r="G150" s="6">
        <f t="shared" si="17"/>
        <v>-2394804</v>
      </c>
      <c r="H150" s="6">
        <f t="shared" si="17"/>
        <v>-2364524</v>
      </c>
      <c r="I150" s="6">
        <f t="shared" si="17"/>
        <v>-2470759</v>
      </c>
      <c r="J150" s="6">
        <f t="shared" si="17"/>
        <v>-2767856</v>
      </c>
      <c r="K150" s="6">
        <f t="shared" si="17"/>
        <v>-3035637</v>
      </c>
    </row>
    <row r="151" spans="2:11" x14ac:dyDescent="0.3">
      <c r="B151" s="63" t="s">
        <v>190</v>
      </c>
      <c r="C151" s="6">
        <f>C94</f>
        <v>3335124</v>
      </c>
      <c r="D151" s="6">
        <f t="shared" ref="D151:K151" si="18">D94</f>
        <v>3390706</v>
      </c>
      <c r="E151" s="6">
        <f t="shared" si="18"/>
        <v>3391744</v>
      </c>
      <c r="F151" s="6">
        <f t="shared" si="18"/>
        <v>3603586</v>
      </c>
      <c r="G151" s="6">
        <f t="shared" si="18"/>
        <v>3787623</v>
      </c>
      <c r="H151" s="6">
        <f t="shared" si="18"/>
        <v>3741432</v>
      </c>
      <c r="I151" s="6">
        <f t="shared" si="18"/>
        <v>3918092</v>
      </c>
      <c r="J151" s="6">
        <f t="shared" si="18"/>
        <v>4115893</v>
      </c>
      <c r="K151" s="6">
        <f t="shared" si="18"/>
        <v>4395438</v>
      </c>
    </row>
    <row r="152" spans="2:11" x14ac:dyDescent="0.3">
      <c r="B152" s="63" t="s">
        <v>191</v>
      </c>
      <c r="C152" s="6">
        <f>(C100+C101)*-1</f>
        <v>-184789</v>
      </c>
      <c r="D152" s="6">
        <f t="shared" ref="D152:K152" si="19">(D100+D101)*-1</f>
        <v>-200691</v>
      </c>
      <c r="E152" s="6">
        <f t="shared" si="19"/>
        <v>-195952</v>
      </c>
      <c r="F152" s="6">
        <f t="shared" si="19"/>
        <v>-266862</v>
      </c>
      <c r="G152" s="6">
        <f t="shared" si="19"/>
        <v>-275941</v>
      </c>
      <c r="H152" s="6">
        <f t="shared" si="19"/>
        <v>-246188</v>
      </c>
      <c r="I152" s="6">
        <f t="shared" si="19"/>
        <v>-261816</v>
      </c>
      <c r="J152" s="6">
        <f t="shared" si="19"/>
        <v>-262060</v>
      </c>
      <c r="K152" s="6">
        <f t="shared" si="19"/>
        <v>-343783</v>
      </c>
    </row>
    <row r="153" spans="2:11" x14ac:dyDescent="0.3">
      <c r="B153" s="66" t="s">
        <v>192</v>
      </c>
      <c r="C153" s="69">
        <f>SUM(C149:C152)</f>
        <v>3904906</v>
      </c>
      <c r="D153" s="69">
        <f t="shared" ref="D153:K153" si="20">SUM(D149:D152)</f>
        <v>3982546</v>
      </c>
      <c r="E153" s="69">
        <f t="shared" si="20"/>
        <v>4082925</v>
      </c>
      <c r="F153" s="69">
        <f t="shared" si="20"/>
        <v>4297449</v>
      </c>
      <c r="G153" s="69">
        <f t="shared" si="20"/>
        <v>4462542</v>
      </c>
      <c r="H153" s="69">
        <f t="shared" si="20"/>
        <v>4395638</v>
      </c>
      <c r="I153" s="69">
        <f t="shared" si="20"/>
        <v>4621532</v>
      </c>
      <c r="J153" s="69">
        <f t="shared" si="20"/>
        <v>4903108</v>
      </c>
      <c r="K153" s="69">
        <f t="shared" si="20"/>
        <v>5281530</v>
      </c>
    </row>
    <row r="155" spans="2:11" x14ac:dyDescent="0.3">
      <c r="B155" s="3" t="s">
        <v>486</v>
      </c>
    </row>
    <row r="156" spans="2:11" x14ac:dyDescent="0.3">
      <c r="B156" s="3" t="s">
        <v>308</v>
      </c>
    </row>
    <row r="157" spans="2:11" x14ac:dyDescent="0.3">
      <c r="B157" s="1" t="s">
        <v>115</v>
      </c>
      <c r="C157" s="6">
        <f>C135</f>
        <v>249018</v>
      </c>
      <c r="D157" s="6">
        <f t="shared" ref="D157:K157" si="21">D135</f>
        <v>286556</v>
      </c>
      <c r="E157" s="6">
        <f t="shared" si="21"/>
        <v>360766</v>
      </c>
      <c r="F157" s="6">
        <f t="shared" si="21"/>
        <v>425713</v>
      </c>
      <c r="G157" s="6">
        <f t="shared" si="21"/>
        <v>407081</v>
      </c>
      <c r="H157" s="6">
        <f t="shared" si="21"/>
        <v>463423</v>
      </c>
      <c r="I157" s="6">
        <f t="shared" si="21"/>
        <v>500685</v>
      </c>
      <c r="J157" s="6">
        <f t="shared" si="21"/>
        <v>564903</v>
      </c>
      <c r="K157" s="6">
        <f t="shared" si="21"/>
        <v>658966</v>
      </c>
    </row>
    <row r="158" spans="2:11" x14ac:dyDescent="0.3">
      <c r="B158" s="1" t="s">
        <v>309</v>
      </c>
      <c r="C158" s="6">
        <f>C25</f>
        <v>-41322</v>
      </c>
      <c r="D158" s="6">
        <f t="shared" ref="D158:K158" si="22">D25</f>
        <v>-58649</v>
      </c>
      <c r="E158" s="6">
        <f t="shared" si="22"/>
        <v>-59107</v>
      </c>
      <c r="F158" s="6">
        <f t="shared" si="22"/>
        <v>-74329</v>
      </c>
      <c r="G158" s="6">
        <f t="shared" si="22"/>
        <v>-70162</v>
      </c>
      <c r="H158" s="6">
        <f t="shared" si="22"/>
        <v>-95543</v>
      </c>
      <c r="I158" s="6">
        <f t="shared" si="22"/>
        <v>-73614</v>
      </c>
      <c r="J158" s="6">
        <f t="shared" si="22"/>
        <v>-86947</v>
      </c>
      <c r="K158" s="6">
        <f t="shared" si="22"/>
        <v>-114999</v>
      </c>
    </row>
    <row r="159" spans="2:11" x14ac:dyDescent="0.3">
      <c r="B159" s="1" t="s">
        <v>310</v>
      </c>
      <c r="C159" s="6">
        <f>C41</f>
        <v>159023</v>
      </c>
      <c r="D159" s="6">
        <f t="shared" ref="D159:K159" si="23">D41</f>
        <v>165166</v>
      </c>
      <c r="E159" s="6">
        <f t="shared" si="23"/>
        <v>168229</v>
      </c>
      <c r="F159" s="6">
        <f t="shared" si="23"/>
        <v>170378</v>
      </c>
      <c r="G159" s="6">
        <f t="shared" si="23"/>
        <v>175139</v>
      </c>
      <c r="H159" s="6">
        <f t="shared" si="23"/>
        <v>188058</v>
      </c>
      <c r="I159" s="6">
        <f t="shared" si="23"/>
        <v>162787</v>
      </c>
      <c r="J159" s="6">
        <f t="shared" si="23"/>
        <v>162112</v>
      </c>
      <c r="K159" s="6">
        <f t="shared" si="23"/>
        <v>165450</v>
      </c>
    </row>
    <row r="160" spans="2:11" x14ac:dyDescent="0.3">
      <c r="B160" s="1" t="s">
        <v>306</v>
      </c>
      <c r="C160" s="6">
        <f>C51</f>
        <v>-181305</v>
      </c>
      <c r="D160" s="6">
        <f t="shared" ref="D160:K160" si="24">D51</f>
        <v>-205674</v>
      </c>
      <c r="E160" s="6">
        <f t="shared" si="24"/>
        <v>-207079</v>
      </c>
      <c r="F160" s="6">
        <f t="shared" si="24"/>
        <v>-361949</v>
      </c>
      <c r="G160" s="6">
        <f t="shared" si="24"/>
        <v>-330827</v>
      </c>
      <c r="H160" s="6">
        <f t="shared" si="24"/>
        <v>-297226</v>
      </c>
      <c r="I160" s="6">
        <f t="shared" si="24"/>
        <v>-287452</v>
      </c>
      <c r="J160" s="6">
        <f t="shared" si="24"/>
        <v>-356906</v>
      </c>
      <c r="K160" s="6">
        <f t="shared" si="24"/>
        <v>-350763</v>
      </c>
    </row>
    <row r="161" spans="1:16" x14ac:dyDescent="0.3">
      <c r="B161" s="1" t="s">
        <v>311</v>
      </c>
      <c r="C161" s="6">
        <f>C44*-1</f>
        <v>-12674</v>
      </c>
      <c r="D161" s="6">
        <f t="shared" ref="D161:K161" si="25">D44*-1</f>
        <v>4554</v>
      </c>
      <c r="E161" s="6">
        <f t="shared" si="25"/>
        <v>65567</v>
      </c>
      <c r="F161" s="6">
        <f t="shared" si="25"/>
        <v>-3508</v>
      </c>
      <c r="G161" s="6">
        <f t="shared" si="25"/>
        <v>-22445</v>
      </c>
      <c r="H161" s="6">
        <f t="shared" si="25"/>
        <v>55461</v>
      </c>
      <c r="I161" s="6">
        <f t="shared" si="25"/>
        <v>122637</v>
      </c>
      <c r="J161" s="6">
        <f t="shared" si="25"/>
        <v>26076</v>
      </c>
      <c r="K161" s="6">
        <f t="shared" si="25"/>
        <v>151088</v>
      </c>
    </row>
    <row r="162" spans="1:16" x14ac:dyDescent="0.3">
      <c r="B162" s="85" t="s">
        <v>307</v>
      </c>
      <c r="C162" s="69">
        <f>SUM(C157:C161)</f>
        <v>172740</v>
      </c>
      <c r="D162" s="69">
        <f t="shared" ref="D162:K162" si="26">SUM(D157:D161)</f>
        <v>191953</v>
      </c>
      <c r="E162" s="69">
        <f t="shared" si="26"/>
        <v>328376</v>
      </c>
      <c r="F162" s="69">
        <f t="shared" si="26"/>
        <v>156305</v>
      </c>
      <c r="G162" s="69">
        <f t="shared" si="26"/>
        <v>158786</v>
      </c>
      <c r="H162" s="69">
        <f t="shared" si="26"/>
        <v>314173</v>
      </c>
      <c r="I162" s="69">
        <f t="shared" si="26"/>
        <v>425043</v>
      </c>
      <c r="J162" s="69">
        <f t="shared" si="26"/>
        <v>309238</v>
      </c>
      <c r="K162" s="69">
        <f t="shared" si="26"/>
        <v>509742</v>
      </c>
    </row>
    <row r="163" spans="1:16" x14ac:dyDescent="0.3">
      <c r="B163" s="85"/>
      <c r="C163" s="7"/>
      <c r="D163" s="7"/>
      <c r="E163" s="7"/>
      <c r="F163" s="7"/>
      <c r="G163" s="7"/>
      <c r="H163" s="7"/>
      <c r="I163" s="7"/>
      <c r="J163" s="7"/>
      <c r="K163" s="7"/>
    </row>
    <row r="164" spans="1:16" x14ac:dyDescent="0.3">
      <c r="B164" s="87" t="s">
        <v>507</v>
      </c>
    </row>
    <row r="165" spans="1:16" x14ac:dyDescent="0.3">
      <c r="B165" s="1" t="s">
        <v>473</v>
      </c>
      <c r="C165" s="6">
        <f>Model!Y115</f>
        <v>9997.7780000000002</v>
      </c>
      <c r="D165" s="6">
        <f>Model!Z115</f>
        <v>20397.667000000001</v>
      </c>
      <c r="E165" s="6">
        <f>Model!AA115</f>
        <v>56011.665999999997</v>
      </c>
      <c r="F165" s="6">
        <f>Model!AB115</f>
        <v>57148</v>
      </c>
      <c r="G165" s="6">
        <f>Model!AC115</f>
        <v>59391.445</v>
      </c>
      <c r="H165" s="6">
        <f>Model!AD115</f>
        <v>92290.945000000007</v>
      </c>
      <c r="I165" s="6">
        <f>Model!AE115</f>
        <v>74760.444000000003</v>
      </c>
      <c r="J165" s="6">
        <f>Model!AF115</f>
        <v>135806.27799999999</v>
      </c>
      <c r="K165" s="6">
        <f>Model!AG115</f>
        <v>154676.321</v>
      </c>
    </row>
    <row r="166" spans="1:16" x14ac:dyDescent="0.3">
      <c r="B166" s="1" t="s">
        <v>474</v>
      </c>
      <c r="C166" s="6">
        <f>Model!Y120</f>
        <v>2502.2220000000002</v>
      </c>
      <c r="D166" s="6">
        <f>Model!Z120</f>
        <v>2678.3330000000001</v>
      </c>
      <c r="E166" s="6">
        <f>Model!AA120</f>
        <v>2793.3339999999998</v>
      </c>
      <c r="F166" s="6">
        <f>Model!AB120</f>
        <v>2710</v>
      </c>
      <c r="G166" s="6">
        <f>Model!AC120</f>
        <v>2380.5549999999998</v>
      </c>
      <c r="H166" s="6">
        <f>Model!AD120</f>
        <v>1923.0550000000001</v>
      </c>
      <c r="I166" s="6">
        <f>Model!AE120</f>
        <v>1465.556</v>
      </c>
      <c r="J166" s="6">
        <f>Model!AF120</f>
        <v>1119.722</v>
      </c>
      <c r="K166" s="6">
        <f>Model!AG120</f>
        <v>1565.4169999999999</v>
      </c>
      <c r="L166" s="5"/>
      <c r="M166" s="5"/>
      <c r="N166" s="5"/>
      <c r="O166" s="5"/>
      <c r="P166" s="5"/>
    </row>
    <row r="167" spans="1:16" x14ac:dyDescent="0.3">
      <c r="A167" t="s">
        <v>90</v>
      </c>
      <c r="B167" s="85" t="s">
        <v>475</v>
      </c>
      <c r="C167" s="69">
        <f t="shared" ref="C167:K167" si="27">SUM(C165:C166)</f>
        <v>12500</v>
      </c>
      <c r="D167" s="69">
        <f t="shared" si="27"/>
        <v>23076</v>
      </c>
      <c r="E167" s="69">
        <f t="shared" si="27"/>
        <v>58805</v>
      </c>
      <c r="F167" s="69">
        <f t="shared" si="27"/>
        <v>59858</v>
      </c>
      <c r="G167" s="69">
        <f t="shared" si="27"/>
        <v>61772</v>
      </c>
      <c r="H167" s="69">
        <f t="shared" si="27"/>
        <v>94214</v>
      </c>
      <c r="I167" s="69">
        <f t="shared" si="27"/>
        <v>76226</v>
      </c>
      <c r="J167" s="69">
        <f t="shared" si="27"/>
        <v>136926</v>
      </c>
      <c r="K167" s="69">
        <f t="shared" si="27"/>
        <v>156241.73799999998</v>
      </c>
    </row>
    <row r="169" spans="1:16" x14ac:dyDescent="0.3">
      <c r="B169" s="1" t="s">
        <v>460</v>
      </c>
      <c r="C169" s="6">
        <v>10020.132</v>
      </c>
      <c r="D169" s="6">
        <v>9029.7649999999994</v>
      </c>
      <c r="E169" s="6">
        <v>26459.677</v>
      </c>
      <c r="F169" s="6">
        <v>31824.385999999999</v>
      </c>
      <c r="G169" s="6">
        <v>38726.925000000003</v>
      </c>
      <c r="H169" s="6">
        <v>35136</v>
      </c>
      <c r="I169" s="6">
        <v>37795.500999999997</v>
      </c>
      <c r="J169" s="6">
        <v>39834.495999999999</v>
      </c>
      <c r="K169" s="6">
        <v>40991.671999999999</v>
      </c>
    </row>
    <row r="170" spans="1:16" x14ac:dyDescent="0.3">
      <c r="B170" s="1" t="s">
        <v>457</v>
      </c>
      <c r="C170" s="6">
        <v>130434.868</v>
      </c>
      <c r="D170" s="6">
        <v>138956.23499999999</v>
      </c>
      <c r="E170" s="6">
        <v>127173.323</v>
      </c>
      <c r="F170" s="6">
        <v>145408.614</v>
      </c>
      <c r="G170" s="6">
        <v>144876.07500000001</v>
      </c>
      <c r="H170" s="6">
        <v>128733</v>
      </c>
      <c r="I170" s="6">
        <v>94394.499000000011</v>
      </c>
      <c r="J170" s="6">
        <v>118147.504</v>
      </c>
      <c r="K170" s="6">
        <v>113289.32800000001</v>
      </c>
    </row>
    <row r="171" spans="1:16" x14ac:dyDescent="0.3">
      <c r="B171" s="85" t="s">
        <v>453</v>
      </c>
      <c r="C171" s="69">
        <v>140455</v>
      </c>
      <c r="D171" s="69">
        <v>147986</v>
      </c>
      <c r="E171" s="69">
        <v>153633</v>
      </c>
      <c r="F171" s="69">
        <v>177233</v>
      </c>
      <c r="G171" s="69">
        <v>183603</v>
      </c>
      <c r="H171" s="69">
        <v>163869</v>
      </c>
      <c r="I171" s="69">
        <v>162190</v>
      </c>
      <c r="J171" s="69">
        <v>157982</v>
      </c>
      <c r="K171" s="69">
        <v>154281</v>
      </c>
      <c r="L171" s="6"/>
      <c r="M171" s="6"/>
      <c r="N171" s="6"/>
      <c r="O171" s="6"/>
      <c r="P171" s="6"/>
    </row>
    <row r="172" spans="1:16" x14ac:dyDescent="0.3">
      <c r="L172" s="6"/>
      <c r="M172" s="6"/>
      <c r="N172" s="6"/>
      <c r="O172" s="6"/>
      <c r="P172" s="6"/>
    </row>
    <row r="173" spans="1:16" x14ac:dyDescent="0.3">
      <c r="B173" s="85" t="s">
        <v>22</v>
      </c>
      <c r="C173" s="7">
        <v>955540</v>
      </c>
      <c r="D173" s="7">
        <v>965314</v>
      </c>
      <c r="E173" s="7">
        <v>909704</v>
      </c>
      <c r="F173" s="7">
        <v>926604</v>
      </c>
      <c r="G173" s="7">
        <v>948257</v>
      </c>
      <c r="H173" s="7">
        <v>848535</v>
      </c>
      <c r="I173" s="7">
        <v>880433</v>
      </c>
      <c r="J173" s="7">
        <v>856228</v>
      </c>
      <c r="K173" s="7">
        <v>860026</v>
      </c>
      <c r="L173" s="7"/>
      <c r="M173" s="7"/>
      <c r="N173" s="7"/>
      <c r="O173" s="7"/>
      <c r="P173" s="7"/>
    </row>
    <row r="174" spans="1:16" x14ac:dyDescent="0.3">
      <c r="B174" s="1"/>
      <c r="C174" s="6"/>
      <c r="D174" s="6"/>
      <c r="E174" s="6"/>
      <c r="F174" s="6"/>
      <c r="G174" s="6"/>
      <c r="H174" s="6"/>
      <c r="I174" s="6"/>
      <c r="J174" s="6"/>
      <c r="K174" s="6"/>
    </row>
    <row r="175" spans="1:16" x14ac:dyDescent="0.3">
      <c r="L175" s="3"/>
      <c r="M175" s="3"/>
      <c r="N175" s="3"/>
      <c r="O175" s="3"/>
      <c r="P175" s="3"/>
    </row>
    <row r="176" spans="1:16" x14ac:dyDescent="0.3">
      <c r="L176" s="3"/>
      <c r="M176" s="3"/>
      <c r="N176" s="3"/>
      <c r="O176" s="3"/>
      <c r="P176" s="3"/>
    </row>
    <row r="177" spans="2:16" x14ac:dyDescent="0.3">
      <c r="L177" s="3"/>
      <c r="M177" s="3"/>
      <c r="N177" s="3"/>
      <c r="O177" s="3"/>
      <c r="P177" s="3"/>
    </row>
    <row r="178" spans="2:16" x14ac:dyDescent="0.3">
      <c r="B178" s="85"/>
      <c r="C178" s="7"/>
      <c r="D178" s="7"/>
      <c r="E178" s="7"/>
      <c r="F178" s="7"/>
      <c r="G178" s="7"/>
      <c r="H178" s="7"/>
      <c r="I178" s="7"/>
      <c r="J178" s="7"/>
      <c r="K178" s="7"/>
      <c r="L178" s="3"/>
      <c r="M178" s="3"/>
      <c r="N178" s="3"/>
      <c r="O178" s="3"/>
      <c r="P178" s="3"/>
    </row>
    <row r="187" spans="2:16" x14ac:dyDescent="0.3">
      <c r="N187" s="6"/>
      <c r="O187" s="6"/>
    </row>
    <row r="188" spans="2:16" x14ac:dyDescent="0.3">
      <c r="G188" s="6"/>
      <c r="H188" s="6"/>
      <c r="N188" s="6"/>
      <c r="O188" s="6"/>
    </row>
    <row r="189" spans="2:16" x14ac:dyDescent="0.3">
      <c r="N189" s="6"/>
      <c r="O189" s="6"/>
    </row>
    <row r="190" spans="2:16" x14ac:dyDescent="0.3">
      <c r="N190" s="6"/>
      <c r="O190" s="6"/>
    </row>
    <row r="191" spans="2:16" x14ac:dyDescent="0.3">
      <c r="B191" s="1"/>
      <c r="C191" s="6"/>
      <c r="D191" s="6"/>
      <c r="E191" s="6"/>
      <c r="F191" s="6"/>
      <c r="G191" s="6"/>
      <c r="H191" s="6"/>
      <c r="I191" s="6"/>
      <c r="J191" s="6"/>
      <c r="K191" s="6"/>
      <c r="N191" s="6"/>
      <c r="O191" s="6"/>
    </row>
    <row r="192" spans="2:16" x14ac:dyDescent="0.3">
      <c r="N192" s="6"/>
      <c r="O192" s="6"/>
    </row>
    <row r="193" spans="2:15" x14ac:dyDescent="0.3">
      <c r="B193" s="1"/>
      <c r="C193" s="6"/>
      <c r="D193" s="6"/>
      <c r="E193" s="6"/>
      <c r="F193" s="6"/>
      <c r="G193" s="6"/>
      <c r="H193" s="6"/>
      <c r="I193" s="6"/>
      <c r="J193" s="6"/>
      <c r="K193" s="6"/>
      <c r="N193" s="6"/>
      <c r="O193" s="6"/>
    </row>
    <row r="194" spans="2:15" x14ac:dyDescent="0.3">
      <c r="B194" s="1"/>
      <c r="C194" s="6"/>
      <c r="D194" s="6"/>
      <c r="E194" s="6"/>
      <c r="F194" s="6"/>
      <c r="G194" s="6"/>
      <c r="H194" s="6"/>
      <c r="I194" s="6"/>
      <c r="J194" s="6"/>
      <c r="K194" s="6"/>
      <c r="N194" s="6"/>
      <c r="O194" s="6"/>
    </row>
    <row r="195" spans="2:15" x14ac:dyDescent="0.3">
      <c r="B195" s="1"/>
      <c r="C195" s="6"/>
      <c r="D195" s="6"/>
      <c r="E195" s="6"/>
      <c r="F195" s="6"/>
      <c r="G195" s="6"/>
      <c r="H195" s="6"/>
      <c r="I195" s="6"/>
      <c r="J195" s="6"/>
      <c r="K195" s="6"/>
      <c r="N195" s="6"/>
      <c r="O195" s="6"/>
    </row>
    <row r="196" spans="2:15" x14ac:dyDescent="0.3">
      <c r="C196" s="6"/>
      <c r="D196" s="6"/>
      <c r="E196" s="6"/>
      <c r="F196" s="6"/>
      <c r="G196" s="6"/>
      <c r="H196" s="6"/>
      <c r="I196" s="6"/>
      <c r="J196" s="6"/>
      <c r="K196" s="6"/>
      <c r="N196" s="6"/>
      <c r="O196" s="6"/>
    </row>
    <row r="197" spans="2:15" x14ac:dyDescent="0.3">
      <c r="O197" s="6"/>
    </row>
    <row r="198" spans="2:15" x14ac:dyDescent="0.3">
      <c r="C198" s="6"/>
      <c r="D198" s="6"/>
      <c r="E198" s="6"/>
      <c r="F198" s="6"/>
      <c r="G198" s="6"/>
      <c r="H198" s="6"/>
      <c r="I198" s="6"/>
      <c r="J198" s="6"/>
      <c r="K198" s="6"/>
      <c r="O198" s="6"/>
    </row>
    <row r="199" spans="2:15" x14ac:dyDescent="0.3">
      <c r="O199" s="6"/>
    </row>
    <row r="210" spans="2:18" x14ac:dyDescent="0.3">
      <c r="B210" s="6"/>
      <c r="C210" s="6"/>
      <c r="D210" s="6"/>
      <c r="E210" s="6"/>
      <c r="F210" s="6"/>
      <c r="G210" s="6"/>
      <c r="H210" s="6"/>
      <c r="I210" s="6"/>
    </row>
    <row r="211" spans="2:18" x14ac:dyDescent="0.3">
      <c r="E211" s="236"/>
      <c r="F211" s="236"/>
      <c r="G211" s="236"/>
      <c r="H211" s="236"/>
      <c r="I211" s="236"/>
      <c r="O211" s="6"/>
      <c r="P211" s="6"/>
      <c r="Q211" s="6"/>
      <c r="R211" s="6"/>
    </row>
    <row r="212" spans="2:18" x14ac:dyDescent="0.3"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</row>
    <row r="216" spans="2:18" x14ac:dyDescent="0.3">
      <c r="J216" s="6"/>
    </row>
    <row r="218" spans="2:18" x14ac:dyDescent="0.3">
      <c r="B218" s="6"/>
    </row>
    <row r="219" spans="2:18" x14ac:dyDescent="0.3">
      <c r="B219" s="335"/>
    </row>
  </sheetData>
  <mergeCells count="1">
    <mergeCell ref="C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Outputs</vt:lpstr>
      <vt:lpstr>Inputs</vt:lpstr>
      <vt:lpstr>Model</vt:lpstr>
      <vt:lpstr>Key Ratios &amp; Metrics</vt:lpstr>
      <vt:lpstr>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2026-05-18T11:46:53Z</dcterms:created>
  <dcterms:modified xsi:type="dcterms:W3CDTF">2026-07-07T20:28:26Z</dcterms:modified>
</cp:coreProperties>
</file>